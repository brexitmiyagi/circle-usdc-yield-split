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s" sheetId="1" state="visible" r:id="rId3"/>
    <sheet name="Assumptions" sheetId="2" state="visible" r:id="rId4"/>
    <sheet name="Model" sheetId="3" state="visible" r:id="rId5"/>
    <sheet name="Consensus" sheetId="4" state="visible" r:id="rId6"/>
    <sheet name="Valuation" sheetId="5" state="visible" r:id="rId7"/>
    <sheet name="Line items" sheetId="6" state="visible" r:id="rId8"/>
    <sheet name="Hyperliquid" sheetId="7" state="visible" r:id="rId9"/>
    <sheet name="Options" sheetId="8" state="visible" r:id="rId10"/>
    <sheet name="Backtest" sheetId="9" state="visible" r:id="rId11"/>
    <sheet name="Dra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<sst xmlns="http://schemas.openxmlformats.org/spreadsheetml/2006/main" count="550" uniqueCount="422">
  <si>
    <t xml:space="preserve">Circle (CRCL) model: read me first</t>
  </si>
  <si>
    <t xml:space="preserve">Sheets: Assumptions (every input with its source), Model (income statement, cash flow, balance sheet, Q3-26 to Q4-27, tax check), Consensus, Line items, Valuation, Hyperliquid, Backtest, Drag, Options.</t>
  </si>
  <si>
    <t xml:space="preserve">Colours: blue input, black formula, green link to another sheet, yellow key judgement.</t>
  </si>
  <si>
    <t xml:space="preserve">Built by scripts/build_workbook.py from the same data as scripts/model.py. The two should agree to the cent.</t>
  </si>
  <si>
    <t xml:space="preserve">Largest balance sheet gap, any quarter ($m)</t>
  </si>
  <si>
    <t xml:space="preserve">Q3-26 keep used (measured, backtest-corrected)</t>
  </si>
  <si>
    <t xml:space="preserve">Q3-26 GAAP EPS</t>
  </si>
  <si>
    <t xml:space="preserve">FY27 GAAP EPS</t>
  </si>
  <si>
    <t xml:space="preserve">12-month price target</t>
  </si>
  <si>
    <t xml:space="preserve">Target vs price</t>
  </si>
  <si>
    <t xml:space="preserve">Circle Internet Group (CRCL): model assumptions</t>
  </si>
  <si>
    <t xml:space="preserve">Blue = input (change it), black = formula, green = link to another sheet, yellow = key judgement. Source for every input in column C.</t>
  </si>
  <si>
    <t xml:space="preserve">Item</t>
  </si>
  <si>
    <t xml:space="preserve">Value</t>
  </si>
  <si>
    <t xml:space="preserve">Source / note</t>
  </si>
  <si>
    <t xml:space="preserve">USDC float ($bn)</t>
  </si>
  <si>
    <t xml:space="preserve">USDC average, Q3-26</t>
  </si>
  <si>
    <t xml:space="preserve">reserve_yield.py (DefiLlama Q3 average calibrated to Circle's Q2 average)</t>
  </si>
  <si>
    <t xml:space="preserve">USDC average, Q4-26 (October to date)</t>
  </si>
  <si>
    <t xml:space="preserve">DefiLlama daily USDC supply, 1-28 Oct 2026, calibrated to Circle's reported Q2 average (model.py)</t>
  </si>
  <si>
    <t xml:space="preserve">USDC at 30 Sep 2026</t>
  </si>
  <si>
    <t xml:space="preserve">DefiLlama, 30 Sep 2026, same calibration</t>
  </si>
  <si>
    <t xml:space="preserve">USDC at latest date (used for 31 Dec 2026)</t>
  </si>
  <si>
    <t xml:space="preserve">DefiLlama, latest day in data/stablecoin_supply_daily.csv, same calibration</t>
  </si>
  <si>
    <t xml:space="preserve">USDC growth from Q1-27, a year</t>
  </si>
  <si>
    <t xml:space="preserve">JPMorgan's $500-600bn stablecoin market by end-2028 (midpoint $550bn) from today's $302.3bn, USDC share held (model.py)</t>
  </si>
  <si>
    <t xml:space="preserve">Float lost per 1.00pt of reserve return above today (gained below)</t>
  </si>
  <si>
    <t xml:space="preserve">rate_drag.py: monthly regression, all stablecoins since Jan 2023, 6 lags, bitcoin control; 95% range 12.3% to 19.0% (Drag sheet)</t>
  </si>
  <si>
    <t xml:space="preserve">Reserve return today</t>
  </si>
  <si>
    <t xml:space="preserve">fund 30 Sep 3.84% less 0.08pt (earnings_power.py)</t>
  </si>
  <si>
    <t xml:space="preserve">Reserve return</t>
  </si>
  <si>
    <t xml:space="preserve">Reserve return, Q3-26</t>
  </si>
  <si>
    <t xml:space="preserve">reserve_yield.py pre-registered (Circle Reserve Fund Q3 net 7-day average less 0.08pt)</t>
  </si>
  <si>
    <t xml:space="preserve">Reserve return, Q4-26</t>
  </si>
  <si>
    <t xml:space="preserve">judgement: fund 3.84% on 30 Sep less 0.08pt = 3.76% and October 3-month bill 4.24% less Circle's 0.23pt Q2 gap = 4.01%; fund lags</t>
  </si>
  <si>
    <t xml:space="preserve">Circle's gap below the 3-month bill</t>
  </si>
  <si>
    <t xml:space="preserve">Circle Q2-26 reserve return 3.50% vs 3-month bill average 3.73% (Treasury)</t>
  </si>
  <si>
    <t xml:space="preserve">Treasury par yield, 3 month (10/27/2026)</t>
  </si>
  <si>
    <t xml:space="preserve">US Treasury daily par yield curve, home.treasury.gov</t>
  </si>
  <si>
    <t xml:space="preserve">Treasury par yield, 6 month (10/27/2026)</t>
  </si>
  <si>
    <t xml:space="preserve">as above</t>
  </si>
  <si>
    <t xml:space="preserve">Treasury par yield, 1 year (10/27/2026)</t>
  </si>
  <si>
    <t xml:space="preserve">Treasury par yield, 2 year (10/27/2026)</t>
  </si>
  <si>
    <t xml:space="preserve">Forward 3m bill in 3 months</t>
  </si>
  <si>
    <t xml:space="preserve">par ~ zero at the short end</t>
  </si>
  <si>
    <t xml:space="preserve">Forward 6m bill in 6 months</t>
  </si>
  <si>
    <t xml:space="preserve">Forward 1y bill in 1 year</t>
  </si>
  <si>
    <t xml:space="preserve">Bill path, Q1-27</t>
  </si>
  <si>
    <t xml:space="preserve">Bill path, Q2-27</t>
  </si>
  <si>
    <t xml:space="preserve">Bill path, Q3-27</t>
  </si>
  <si>
    <t xml:space="preserve">Bill path, Q4-27</t>
  </si>
  <si>
    <t xml:space="preserve">Circle's keep</t>
  </si>
  <si>
    <t xml:space="preserve">Keep, Q3-26 (measured, corrected for the backtest miss)</t>
  </si>
  <si>
    <t xml:space="preserve">Hyperliquid sheet: keep_method.py on the on-chain split, plus the average miss from backtest_keep.py</t>
  </si>
  <si>
    <t xml:space="preserve">Yield the keep is measured at</t>
  </si>
  <si>
    <t xml:space="preserve">the yield the Q3 keep is measured at</t>
  </si>
  <si>
    <t xml:space="preserve">Reserve income per +100bp ($m)</t>
  </si>
  <si>
    <t xml:space="preserve">Circle 10-Q Q2-26, Item 3</t>
  </si>
  <si>
    <t xml:space="preserve">Distribution costs per +100bp ($m)</t>
  </si>
  <si>
    <t xml:space="preserve">Marginal keep of a yield change (rate table)</t>
  </si>
  <si>
    <t xml:space="preserve">Circle's own rate table</t>
  </si>
  <si>
    <t xml:space="preserve">Use the rate table for the keep? (1 yes, 0 no)</t>
  </si>
  <si>
    <t xml:space="preserve">Base 0: the backtest did worse with it (Backtest sheet)</t>
  </si>
  <si>
    <t xml:space="preserve">Keep on a change in yield, as used</t>
  </si>
  <si>
    <t xml:space="preserve">0 above means the keep stays at the Q3 level as yields move</t>
  </si>
  <si>
    <t xml:space="preserve">Revenue and costs ($m a quarter unless stated)</t>
  </si>
  <si>
    <t xml:space="preserve">Other revenue ex-ARC, H2-26 total</t>
  </si>
  <si>
    <t xml:space="preserve">Circle Q2-26 call: $130m-$150m for 2026 ex-ARC (midpoint $140m) less H1 actual $75.2m</t>
  </si>
  <si>
    <t xml:space="preserve">Other revenue growth, 2027</t>
  </si>
  <si>
    <t xml:space="preserve">judgement</t>
  </si>
  <si>
    <t xml:space="preserve">ARC token revenue, Q3-26</t>
  </si>
  <si>
    <t xml:space="preserve">judgement: Circle expects ~$180m of ARC revenue in 2026 (Q2 call); split evenly over Q3 and Q4</t>
  </si>
  <si>
    <t xml:space="preserve">ARC token revenue, Q4-26</t>
  </si>
  <si>
    <t xml:space="preserve">judgement as above</t>
  </si>
  <si>
    <t xml:space="preserve">ARC token revenue, 2027 total (H1)</t>
  </si>
  <si>
    <t xml:space="preserve">$242.2m presale less $180m recognized in 2026</t>
  </si>
  <si>
    <t xml:space="preserve">Other costs of revenue</t>
  </si>
  <si>
    <t xml:space="preserve">Q2-26 $2.1m</t>
  </si>
  <si>
    <t xml:space="preserve">Adjusted opex, FY26</t>
  </si>
  <si>
    <t xml:space="preserve">Circle guidance $570m-$585m</t>
  </si>
  <si>
    <t xml:space="preserve">Adjusted opex, H1-26 actual</t>
  </si>
  <si>
    <t xml:space="preserve">Q2-26 $146m (call) and Q1-26 $135m (Q2 'sequentially increased $11 million')</t>
  </si>
  <si>
    <t xml:space="preserve">Adjusted opex growth, 2027</t>
  </si>
  <si>
    <t xml:space="preserve">Stock pay, base quarter</t>
  </si>
  <si>
    <t xml:space="preserve">Q2-26 10-Q</t>
  </si>
  <si>
    <t xml:space="preserve">Stock pay growth a quarter</t>
  </si>
  <si>
    <t xml:space="preserve">Depreciation and amortisation</t>
  </si>
  <si>
    <t xml:space="preserve">Other GAAP opex items</t>
  </si>
  <si>
    <t xml:space="preserve">GAAP opex less adjusted opex less stock pay less D&amp;A: Q2-26 $25.0m (Q1-26 $28.7m)</t>
  </si>
  <si>
    <t xml:space="preserve">Tax rate, 2026</t>
  </si>
  <si>
    <t xml:space="preserve">H1-26 effective tax rate (5.531 / 108.991)</t>
  </si>
  <si>
    <t xml:space="preserve">Tax rate, 2027</t>
  </si>
  <si>
    <t xml:space="preserve">model.py NOL schedule: $478.8m federal NOLs at end-2025 (10-K FY25), 80% limit, 5.1% non-federal; see the tax check on the Model sheet</t>
  </si>
  <si>
    <t xml:space="preserve">Federal NOLs at 31 Dec 2025 ($m)</t>
  </si>
  <si>
    <t xml:space="preserve">Circle 10-K FY25 income tax note: US federal NOL carryforwards $478.8m (indefinite); full US valuation allowance</t>
  </si>
  <si>
    <t xml:space="preserve">Pretax income, H1-26 ($m)</t>
  </si>
  <si>
    <t xml:space="preserve">Circle 10-Q Q2-26: income from continuing operations before income taxes</t>
  </si>
  <si>
    <t xml:space="preserve">Shares and cash flow</t>
  </si>
  <si>
    <t xml:space="preserve">Diluted shares, Q2-26 (m)</t>
  </si>
  <si>
    <t xml:space="preserve">Circle 10-Q Q2-26</t>
  </si>
  <si>
    <t xml:space="preserve">Diluted share drift a quarter</t>
  </si>
  <si>
    <t xml:space="preserve">judgement: Q1-26 to Q2-26 diluted shares rose 0.7%</t>
  </si>
  <si>
    <t xml:space="preserve">Binance shares issued 17 Sep 2026 (m)</t>
  </si>
  <si>
    <t xml:space="preserve">Circle 8-K filed 22 Sep 2026 (issued 17 Sep)</t>
  </si>
  <si>
    <t xml:space="preserve">Binance placement cash</t>
  </si>
  <si>
    <t xml:space="preserve">Circle 8-K filed 22 Sep 2026</t>
  </si>
  <si>
    <t xml:space="preserve">Tazapay consideration (paid in shares)</t>
  </si>
  <si>
    <t xml:space="preserve">Circle 8-K filed 8 Sep 2026; shares = $400m / 20-day VWAP before closing; close expected 2027</t>
  </si>
  <si>
    <t xml:space="preserve">CRCL price</t>
  </si>
  <si>
    <t xml:space="preserve">Yahoo close, 26 Oct 2026 (entry price of the call)</t>
  </si>
  <si>
    <t xml:space="preserve">Tazapay shares (m)</t>
  </si>
  <si>
    <t xml:space="preserve">at the CRCL price above</t>
  </si>
  <si>
    <t xml:space="preserve">Capex</t>
  </si>
  <si>
    <t xml:space="preserve">H1-26 capitalised software $35.8m + long-lived assets $10.4m</t>
  </si>
  <si>
    <t xml:space="preserve">RSU tax withholding</t>
  </si>
  <si>
    <t xml:space="preserve">H1-26 $149.5m</t>
  </si>
  <si>
    <t xml:space="preserve">Option exercise proceeds</t>
  </si>
  <si>
    <t xml:space="preserve">H1-26 $41.6m</t>
  </si>
  <si>
    <t xml:space="preserve">ARC presale receivable collected in Q3-26</t>
  </si>
  <si>
    <t xml:space="preserve">Circle 10-Q Q2-26: presale proceeds not yet received at 30 Jun</t>
  </si>
  <si>
    <t xml:space="preserve">Opening balance sheet, 30 Jun 2026 ($m)</t>
  </si>
  <si>
    <t xml:space="preserve">Corporate cash</t>
  </si>
  <si>
    <t xml:space="preserve">Segregated corporate stablecoins</t>
  </si>
  <si>
    <t xml:space="preserve">Reserves held above the USDC liability</t>
  </si>
  <si>
    <t xml:space="preserve">Circle 10-Q Q2-26: reserves $73,161.2m less deposits $72,927.5m</t>
  </si>
  <si>
    <t xml:space="preserve">Fixed assets, intangibles, goodwill</t>
  </si>
  <si>
    <t xml:space="preserve">Circle 10-Q Q2-26: $22.2m + $446.6m + $265.7m</t>
  </si>
  <si>
    <t xml:space="preserve">Other assets</t>
  </si>
  <si>
    <t xml:space="preserve">total assets less the lines above (includes the $20.2m ARC receivable)</t>
  </si>
  <si>
    <t xml:space="preserve">Deferred ARC presale revenue</t>
  </si>
  <si>
    <t xml:space="preserve">Circle 8-K 2 Jul 2026 and 10-Q Q2-26</t>
  </si>
  <si>
    <t xml:space="preserve">Other liabilities</t>
  </si>
  <si>
    <t xml:space="preserve">total liabilities less deposits and deferred ARC</t>
  </si>
  <si>
    <t xml:space="preserve">Total equity (incl. $1.4m noncontrolling interest)</t>
  </si>
  <si>
    <t xml:space="preserve">Circle 10-Q Q2-26 (SEC XBRL: assets less liabilities)</t>
  </si>
  <si>
    <t xml:space="preserve">Circle three-statement model, base case (JPMorgan path, forward-curve yields, measured Q3 keep). $m unless stated.</t>
  </si>
  <si>
    <t xml:space="preserve">Line</t>
  </si>
  <si>
    <t xml:space="preserve">Unit</t>
  </si>
  <si>
    <t xml:space="preserve">Q3-26</t>
  </si>
  <si>
    <t xml:space="preserve">Q4-26</t>
  </si>
  <si>
    <t xml:space="preserve">Q1-27</t>
  </si>
  <si>
    <t xml:space="preserve">Q2-27</t>
  </si>
  <si>
    <t xml:space="preserve">Q3-27</t>
  </si>
  <si>
    <t xml:space="preserve">Q4-27</t>
  </si>
  <si>
    <t xml:space="preserve">Drivers</t>
  </si>
  <si>
    <t xml:space="preserve">Quarter number</t>
  </si>
  <si>
    <t xml:space="preserve">Days</t>
  </si>
  <si>
    <t xml:space="preserve">Fiscal year</t>
  </si>
  <si>
    <t xml:space="preserve">2026</t>
  </si>
  <si>
    <t xml:space="preserve">2027</t>
  </si>
  <si>
    <t xml:space="preserve">%</t>
  </si>
  <si>
    <t xml:space="preserve">USDC on the JPMorgan path, before rate drag</t>
  </si>
  <si>
    <t xml:space="preserve">$bn</t>
  </si>
  <si>
    <t xml:space="preserve">USDC average</t>
  </si>
  <si>
    <t xml:space="preserve">USDC at period end</t>
  </si>
  <si>
    <t xml:space="preserve">ARC token revenue</t>
  </si>
  <si>
    <t xml:space="preserve">$m</t>
  </si>
  <si>
    <t xml:space="preserve">Income statement</t>
  </si>
  <si>
    <t xml:space="preserve">Reserve income</t>
  </si>
  <si>
    <t xml:space="preserve">Reserve income Circle keeps</t>
  </si>
  <si>
    <t xml:space="preserve">Distribution and transaction costs</t>
  </si>
  <si>
    <t xml:space="preserve">Keep (share of reserve income)</t>
  </si>
  <si>
    <t xml:space="preserve">Other revenue ex-ARC</t>
  </si>
  <si>
    <t xml:space="preserve">Total revenue</t>
  </si>
  <si>
    <t xml:space="preserve">Less distribution and transaction costs</t>
  </si>
  <si>
    <t xml:space="preserve">Less other costs</t>
  </si>
  <si>
    <t xml:space="preserve">Revenue less distribution costs (RLDC)</t>
  </si>
  <si>
    <t xml:space="preserve">RLDC margin</t>
  </si>
  <si>
    <t xml:space="preserve">Adjusted opex</t>
  </si>
  <si>
    <t xml:space="preserve">Adjusted EBITDA</t>
  </si>
  <si>
    <t xml:space="preserve">Stock pay</t>
  </si>
  <si>
    <t xml:space="preserve">Operating income</t>
  </si>
  <si>
    <t xml:space="preserve">Corporate cash at start of quarter</t>
  </si>
  <si>
    <t xml:space="preserve">Interest on corporate cash</t>
  </si>
  <si>
    <t xml:space="preserve">Pretax income</t>
  </si>
  <si>
    <t xml:space="preserve">Tax rate</t>
  </si>
  <si>
    <t xml:space="preserve">Tax</t>
  </si>
  <si>
    <t xml:space="preserve">Net income</t>
  </si>
  <si>
    <t xml:space="preserve">Share drift</t>
  </si>
  <si>
    <t xml:space="preserve">Binance shares issued (weighted)</t>
  </si>
  <si>
    <t xml:space="preserve">m</t>
  </si>
  <si>
    <t xml:space="preserve">Tazapay shares (weighted)</t>
  </si>
  <si>
    <t xml:space="preserve">Diluted shares</t>
  </si>
  <si>
    <t xml:space="preserve">GAAP diluted EPS</t>
  </si>
  <si>
    <t xml:space="preserve">$</t>
  </si>
  <si>
    <t xml:space="preserve">EPS ex-ARC token revenue</t>
  </si>
  <si>
    <t xml:space="preserve">Cash flow</t>
  </si>
  <si>
    <t xml:space="preserve">Add stock pay</t>
  </si>
  <si>
    <t xml:space="preserve">Add depreciation and amortisation</t>
  </si>
  <si>
    <t xml:space="preserve">Less ARC revenue (cash came in 2026 Q2-Q3)</t>
  </si>
  <si>
    <t xml:space="preserve">ARC receivable collected</t>
  </si>
  <si>
    <t xml:space="preserve">Cash from operations</t>
  </si>
  <si>
    <t xml:space="preserve">Free cash flow</t>
  </si>
  <si>
    <t xml:space="preserve">Binance share placement</t>
  </si>
  <si>
    <t xml:space="preserve">Cash from financing (ex USDC flows)</t>
  </si>
  <si>
    <t xml:space="preserve">Corporate cash at end of quarter</t>
  </si>
  <si>
    <t xml:space="preserve">Balance sheet (period end)</t>
  </si>
  <si>
    <t xml:space="preserve">Reserves for USDC holders</t>
  </si>
  <si>
    <t xml:space="preserve">Total assets</t>
  </si>
  <si>
    <t xml:space="preserve">Deposits from USDC holders</t>
  </si>
  <si>
    <t xml:space="preserve">Total liabilities</t>
  </si>
  <si>
    <t xml:space="preserve">Total equity (roll-forward)</t>
  </si>
  <si>
    <t xml:space="preserve">Check: assets less liabilities less equity</t>
  </si>
  <si>
    <t xml:space="preserve">Tazapay closes in 2027; it enters the balance sheet in Q2-27 at its $400m price (paid in shares), with the shares weighted in over Q2-27 and Q3-27.</t>
  </si>
  <si>
    <t xml:space="preserve">Everything not shown on the balance sheet is held at 30 June 2026. Stablecoin reserves and the USDC liability move one for one.</t>
  </si>
  <si>
    <t xml:space="preserve">Tax check (2027 rate from the NOL schedule; feeds nothing, to avoid a circular reference)</t>
  </si>
  <si>
    <t xml:space="preserve">FY26 pretax ($m)</t>
  </si>
  <si>
    <t xml:space="preserve">NOLs left after 2026 ($m)</t>
  </si>
  <si>
    <t xml:space="preserve">FY27 pretax ($m)</t>
  </si>
  <si>
    <t xml:space="preserve">NOLs used in 2027 ($m)</t>
  </si>
  <si>
    <t xml:space="preserve">2027 rate implied</t>
  </si>
  <si>
    <t xml:space="preserve">2027 rate used (Assumptions)</t>
  </si>
  <si>
    <t xml:space="preserve">My forecast against the Street (consensus read 28 Oct 2026; EPS is GAAP diluted)</t>
  </si>
  <si>
    <t xml:space="preserve">H1-26 actuals (Circle 10-Qs)</t>
  </si>
  <si>
    <t xml:space="preserve">Q1-26 694.133 + Q2-26 701.315</t>
  </si>
  <si>
    <t xml:space="preserve">Q1-26 652.508 + Q2-26 667.733</t>
  </si>
  <si>
    <t xml:space="preserve">Q1-26 405.402 + Q2-26 410.414</t>
  </si>
  <si>
    <t xml:space="preserve">Q1-26 0.21 + Q2-26 0.18</t>
  </si>
  <si>
    <t xml:space="preserve">Period</t>
  </si>
  <si>
    <t xml:space="preserve">My revenue ($m)</t>
  </si>
  <si>
    <t xml:space="preserve">Consensus revenue ($m, Yahoo)</t>
  </si>
  <si>
    <t xml:space="preserve">Revenue gap</t>
  </si>
  <si>
    <t xml:space="preserve">My GAAP EPS</t>
  </si>
  <si>
    <t xml:space="preserve">Consensus EPS (Yahoo)</t>
  </si>
  <si>
    <t xml:space="preserve">Consensus EPS (Nasdaq/Zacks)</t>
  </si>
  <si>
    <t xml:space="preserve">EPS gap vs Yahoo</t>
  </si>
  <si>
    <t xml:space="preserve">My EPS ex-ARC</t>
  </si>
  <si>
    <t xml:space="preserve">My keep</t>
  </si>
  <si>
    <t xml:space="preserve">Analysts (Yahoo EPS)</t>
  </si>
  <si>
    <t xml:space="preserve">FY26</t>
  </si>
  <si>
    <t xml:space="preserve">FY27</t>
  </si>
  <si>
    <t xml:space="preserve">Sources: Yahoo Finance earningsTrend (query2.finance.yahoo.com); Nasdaq analyst earnings forecast (Zacks data), api.nasdaq.com. Both read 28 Oct 2026.</t>
  </si>
  <si>
    <t xml:space="preserve">Q4-26: my EPS is above the Street on about the same revenue. On the Street's revenue the gap needs ~$32m more Q4 cost: a keep near 31% (mine 35.7%), adjusted opex near $184m (guide leaves ~$152m), or less interest on Circle's own cash. See model.txt.</t>
  </si>
  <si>
    <t xml:space="preserve">FY27 tax: 17.0% from the NOL schedule ($478.8m federal NOLs at end-2025, 80% limit), not the 21% statutory rate. A valuation-allowance release would be a one-off benefit and is left out.</t>
  </si>
  <si>
    <t xml:space="preserve">Price target: scenario-weighted value per share, rolled forward one year at the cost of equity</t>
  </si>
  <si>
    <t xml:space="preserve">Each scenario value is a 10-year cash-flow value from scripts/valuation.py (USDC path from each forecast, forward-curve yields, measured keep, the add-ons below). Changing the cost of equity here moves the roll-forward only; re-run valuation.py to move the scenario values.</t>
  </si>
  <si>
    <t xml:space="preserve">Scenario</t>
  </si>
  <si>
    <t xml:space="preserve">Stablecoin market</t>
  </si>
  <si>
    <t xml:space="preserve">Value per share</t>
  </si>
  <si>
    <t xml:space="preserve">My weight (set 27 Oct)</t>
  </si>
  <si>
    <t xml:space="preserve">Options-market odds (cross-check)</t>
  </si>
  <si>
    <t xml:space="preserve">flat</t>
  </si>
  <si>
    <t xml:space="preserve">Flat, as the last 12 months</t>
  </si>
  <si>
    <t xml:space="preserve">jpmorgan</t>
  </si>
  <si>
    <t xml:space="preserve">JPMorgan, $500-600bn by 2028</t>
  </si>
  <si>
    <t xml:space="preserve">standard_chartered</t>
  </si>
  <si>
    <t xml:space="preserve">Standard Chartered, $2tn by 2030</t>
  </si>
  <si>
    <t xml:space="preserve">Weighted value today</t>
  </si>
  <si>
    <t xml:space="preserve">Weights add to</t>
  </si>
  <si>
    <t xml:space="preserve">Risk-free rate (10-year Treasury)</t>
  </si>
  <si>
    <t xml:space="preserve">US Treasury par curve, 27 Oct 2026</t>
  </si>
  <si>
    <t xml:space="preserve">Equity risk premium (Damodaran)</t>
  </si>
  <si>
    <t xml:space="preserve">implied ERP, 1 Oct 2026, pages.stern.nyu.edu/~adamodar</t>
  </si>
  <si>
    <t xml:space="preserve">CRCL weekly beta vs S&amp;P 500, 50 weeks</t>
  </si>
  <si>
    <t xml:space="preserve">beta.py on Yahoo weekly closes</t>
  </si>
  <si>
    <t xml:space="preserve">Blume-adjusted beta</t>
  </si>
  <si>
    <t xml:space="preserve">Cost of equity (CAPM; Circle has no debt)</t>
  </si>
  <si>
    <t xml:space="preserve">Weight on Standard Chartered the price implies (rest at my flat:JPMorgan ratio)</t>
  </si>
  <si>
    <t xml:space="preserve">Street mean target (Yahoo, 24 analysts)</t>
  </si>
  <si>
    <t xml:space="preserve">Nasdaq consensus target</t>
  </si>
  <si>
    <t xml:space="preserve">Nasdaq, read 28 Oct 2026 (12 buy, 6 hold, 3 sell)</t>
  </si>
  <si>
    <t xml:space="preserve">Target / my 2027 GAAP EPS (x)</t>
  </si>
  <si>
    <t xml:space="preserve">Target / my 2027 EPS ex-ARC (x)</t>
  </si>
  <si>
    <t xml:space="preserve">Rating range: HOLD while the price is between</t>
  </si>
  <si>
    <t xml:space="preserve">... and</t>
  </si>
  <si>
    <t xml:space="preserve">Standard Chartered weight vs value (rest at my 35:55 flat:JPMorgan ratio)</t>
  </si>
  <si>
    <t xml:space="preserve">Weight on Standard Chartered</t>
  </si>
  <si>
    <t xml:space="preserve">Value today</t>
  </si>
  <si>
    <t xml:space="preserve">12-month target</t>
  </si>
  <si>
    <t xml:space="preserve">vs price</t>
  </si>
  <si>
    <t xml:space="preserve">Target uses my weights, set on 27 Oct and unchanged. Cross-check: the Jan-2028 options' odds of CRCL finishing below $42, between, and above $136 (scenario values rolled forward at the cost of equity, split at geometric midpoints). Options odds are risk-neutral and lean to the downside.</t>
  </si>
  <si>
    <t xml:space="preserve">Added to every scenario once: cash and receivables $1,850m, 25% of Arc at the $3bn presale valuation ($750m), Tazapay at $400m, federal NOL shield $76m; 274.9m shares.</t>
  </si>
  <si>
    <t xml:space="preserve">USDC share sensitivity (every scenario holds USDC at 23.7% of stablecoins; valuation.py)</t>
  </si>
  <si>
    <t xml:space="preserve">USDC loses 0.5 point of share a year: value today</t>
  </si>
  <si>
    <t xml:space="preserve">USDC loses 1.0 point of share a year: value today</t>
  </si>
  <si>
    <t xml:space="preserve">Line by line: my forecast, Circle FY26 guidance (Q2-26 call), and the Street where free sources carry it (revenue, EPS)</t>
  </si>
  <si>
    <t xml:space="preserve">$m unless stated</t>
  </si>
  <si>
    <t xml:space="preserve">Q3-26 mine</t>
  </si>
  <si>
    <t xml:space="preserve">Q4-26 mine</t>
  </si>
  <si>
    <t xml:space="preserve">FY26 mine</t>
  </si>
  <si>
    <t xml:space="preserve">FY26 Circle guidance</t>
  </si>
  <si>
    <t xml:space="preserve">FY27 mine</t>
  </si>
  <si>
    <t xml:space="preserve">Q3-26 Street</t>
  </si>
  <si>
    <t xml:space="preserve">Q4-26 Street</t>
  </si>
  <si>
    <t xml:space="preserve">FY26 Street</t>
  </si>
  <si>
    <t xml:space="preserve">FY27 Street</t>
  </si>
  <si>
    <t xml:space="preserve">657</t>
  </si>
  <si>
    <t xml:space="preserve">717</t>
  </si>
  <si>
    <t xml:space="preserve">2694</t>
  </si>
  <si>
    <t xml:space="preserve">3461</t>
  </si>
  <si>
    <t xml:space="preserve">32</t>
  </si>
  <si>
    <t xml:space="preserve">140</t>
  </si>
  <si>
    <t xml:space="preserve">310-330 incl. ~180 ARC</t>
  </si>
  <si>
    <t xml:space="preserve">143</t>
  </si>
  <si>
    <t xml:space="preserve">90</t>
  </si>
  <si>
    <t xml:space="preserve">180</t>
  </si>
  <si>
    <t xml:space="preserve">62</t>
  </si>
  <si>
    <t xml:space="preserve">779</t>
  </si>
  <si>
    <t xml:space="preserve">839</t>
  </si>
  <si>
    <t xml:space="preserve">3014</t>
  </si>
  <si>
    <t xml:space="preserve">3666</t>
  </si>
  <si>
    <t xml:space="preserve">786.91</t>
  </si>
  <si>
    <t xml:space="preserve">832.69</t>
  </si>
  <si>
    <t xml:space="preserve">3026.00</t>
  </si>
  <si>
    <t xml:space="preserve">3835.10</t>
  </si>
  <si>
    <t xml:space="preserve">422</t>
  </si>
  <si>
    <t xml:space="preserve">461</t>
  </si>
  <si>
    <t xml:space="preserve">1699</t>
  </si>
  <si>
    <t xml:space="preserve">2224</t>
  </si>
  <si>
    <t xml:space="preserve">Keep (% of reserve income)</t>
  </si>
  <si>
    <t xml:space="preserve">35.7%</t>
  </si>
  <si>
    <t xml:space="preserve">36.9%</t>
  </si>
  <si>
    <t xml:space="preserve">RLDC</t>
  </si>
  <si>
    <t xml:space="preserve">355</t>
  </si>
  <si>
    <t xml:space="preserve">377</t>
  </si>
  <si>
    <t xml:space="preserve">1308</t>
  </si>
  <si>
    <t xml:space="preserve">1434</t>
  </si>
  <si>
    <t xml:space="preserve">45.6%</t>
  </si>
  <si>
    <t xml:space="preserve">44.9%</t>
  </si>
  <si>
    <t xml:space="preserve">43.4%</t>
  </si>
  <si>
    <t xml:space="preserve">41.7%-43.7%</t>
  </si>
  <si>
    <t xml:space="preserve">39.1%</t>
  </si>
  <si>
    <t xml:space="preserve">152</t>
  </si>
  <si>
    <t xml:space="preserve">585</t>
  </si>
  <si>
    <t xml:space="preserve">570-585</t>
  </si>
  <si>
    <t xml:space="preserve">632</t>
  </si>
  <si>
    <t xml:space="preserve">203</t>
  </si>
  <si>
    <t xml:space="preserve">225</t>
  </si>
  <si>
    <t xml:space="preserve">723</t>
  </si>
  <si>
    <t xml:space="preserve">677-752 (on Street revenue)</t>
  </si>
  <si>
    <t xml:space="preserve">802</t>
  </si>
  <si>
    <t xml:space="preserve">105</t>
  </si>
  <si>
    <t xml:space="preserve">127</t>
  </si>
  <si>
    <t xml:space="preserve">336</t>
  </si>
  <si>
    <t xml:space="preserve">375</t>
  </si>
  <si>
    <t xml:space="preserve">GAAP diluted EPS ($)</t>
  </si>
  <si>
    <t xml:space="preserve">0.39</t>
  </si>
  <si>
    <t xml:space="preserve">0.47</t>
  </si>
  <si>
    <t xml:space="preserve">1.25</t>
  </si>
  <si>
    <t xml:space="preserve">1.35</t>
  </si>
  <si>
    <t xml:space="preserve">0.379 / 0.40</t>
  </si>
  <si>
    <t xml:space="preserve">0.334 / 0.32</t>
  </si>
  <si>
    <t xml:space="preserve">1.111 / 1.10</t>
  </si>
  <si>
    <t xml:space="preserve">1.412 / 1.37</t>
  </si>
  <si>
    <t xml:space="preserve">EPS ex-ARC ($)</t>
  </si>
  <si>
    <t xml:space="preserve">0.07</t>
  </si>
  <si>
    <t xml:space="preserve">0.16</t>
  </si>
  <si>
    <t xml:space="preserve">0.62</t>
  </si>
  <si>
    <t xml:space="preserve">1.16</t>
  </si>
  <si>
    <t xml:space="preserve">Consensus adjusted EBITDA, RLDC and distribution costs are not on free sources; the guidance column and the Q4 walk (model.txt) stand in for them.</t>
  </si>
  <si>
    <t xml:space="preserve">Hyperliquid's USDC, measured on HyperEVM, and what it does to Circle's Q3-26 keep</t>
  </si>
  <si>
    <t xml:space="preserve">Daily balances of Coinbase's AQA treasury (0xc20699185c15D0a2fD65779BB5d69f5b0B113c00) and Circle's Core Deposit Wallet (0x6b9e773128f453f5c2c60935ee2de2cbc5390a24), archive RPC, data/hyperliquid_split_onchain_daily.csv. Arbitrum bridge from DefiLlama.</t>
  </si>
  <si>
    <t xml:space="preserve">Coinbase treasury, Q2-26 average ($bn)</t>
  </si>
  <si>
    <t xml:space="preserve">Circle's wallet, Q2-26 average ($bn)</t>
  </si>
  <si>
    <t xml:space="preserve">Legacy Arbitrum bridge, Q2-26 average ($bn)</t>
  </si>
  <si>
    <t xml:space="preserve">Coinbase treasury, Q3-26 average ($bn)</t>
  </si>
  <si>
    <t xml:space="preserve">Circle's wallet, Q3-26 average ($bn)</t>
  </si>
  <si>
    <t xml:space="preserve">Legacy Arbitrum bridge, Q3-26 average ($bn)</t>
  </si>
  <si>
    <t xml:space="preserve">Circle's take on a shared-pool dollar, low</t>
  </si>
  <si>
    <t xml:space="preserve">Circle's take on a shared-pool dollar, high</t>
  </si>
  <si>
    <t xml:space="preserve">Coinbase's take of the shared pool</t>
  </si>
  <si>
    <t xml:space="preserve">$m per $bn-year for 92 days</t>
  </si>
  <si>
    <t xml:space="preserve">Circle keeps on Hyperliquid USDC, Q2 mix, low take ($m)</t>
  </si>
  <si>
    <t xml:space="preserve">Circle keeps on Hyperliquid USDC, Q3 mix, low take ($m)</t>
  </si>
  <si>
    <t xml:space="preserve">Change, low take ($m)</t>
  </si>
  <si>
    <t xml:space="preserve">Change, high take ($m)</t>
  </si>
  <si>
    <t xml:space="preserve">Circle pays Coinbase on Hyperliquid USDC, change Q2 to Q3 mix ($m)</t>
  </si>
  <si>
    <t xml:space="preserve">Binance customers' USDC, Q3 vs Q2 average ($bn)</t>
  </si>
  <si>
    <t xml:space="preserve">Circle keeps on that USDC, low end (1.34c a year), $m</t>
  </si>
  <si>
    <t xml:space="preserve">Keep, Q2-26 (Circle 10-Q)</t>
  </si>
  <si>
    <t xml:space="preserve">Pre-registered Q3 reserve income ($m)</t>
  </si>
  <si>
    <t xml:space="preserve">Keep, Q3-26, used in the model (midpoint plus the backtest correction)</t>
  </si>
  <si>
    <t xml:space="preserve">Keep, Q3-26, method low (keep_method.py: Binance counted)</t>
  </si>
  <si>
    <t xml:space="preserve">Keep, Q3-26, method high (keep_method.py: Binance not counted)</t>
  </si>
  <si>
    <t xml:space="preserve">Keep, Q3-26, method midpoint</t>
  </si>
  <si>
    <t xml:space="preserve">Backtest correction: the method ran this far low on average</t>
  </si>
  <si>
    <t xml:space="preserve">Before 13 June 2026 all native Hyperliquid USDC sat in Circle's Core Deposit Wallet (Circle's platform). Since then the two addresses are held at 90/10.</t>
  </si>
  <si>
    <t xml:space="preserve">CRCL options, Cboe delayed quotes (data/crcl_options_20261028.csv): what the market pays for</t>
  </si>
  <si>
    <t xml:space="preserve">Expiry</t>
  </si>
  <si>
    <t xml:space="preserve">Measure</t>
  </si>
  <si>
    <t xml:space="preserve">Strike or level ($)</t>
  </si>
  <si>
    <t xml:space="preserve">Probability</t>
  </si>
  <si>
    <t xml:space="preserve">2028-01-21</t>
  </si>
  <si>
    <t xml:space="preserve">call spread 80-100</t>
  </si>
  <si>
    <t xml:space="preserve">call spread 100-150</t>
  </si>
  <si>
    <t xml:space="preserve">call spread 150-200</t>
  </si>
  <si>
    <t xml:space="preserve">call spread 200-230</t>
  </si>
  <si>
    <t xml:space="preserve">lognormal at 72% implied vol</t>
  </si>
  <si>
    <t xml:space="preserve">2029-01-19</t>
  </si>
  <si>
    <t xml:space="preserve">6 Nov expiry, $80 straddle: $10.72, about 13.4% either way through the print</t>
  </si>
  <si>
    <t xml:space="preserve">Does the keep method work? Each quarter predicted from the quarter before (backtest_keep.py)</t>
  </si>
  <si>
    <t xml:space="preserve">Quarter</t>
  </si>
  <si>
    <t xml:space="preserve">Actual keep</t>
  </si>
  <si>
    <t xml:space="preserve">Method low</t>
  </si>
  <si>
    <t xml:space="preserve">Method high</t>
  </si>
  <si>
    <t xml:space="preserve">Method midpoint</t>
  </si>
  <si>
    <t xml:space="preserve">Same as last quarter</t>
  </si>
  <si>
    <t xml:space="preserve">Method + rate table</t>
  </si>
  <si>
    <t xml:space="preserve">Rate table only</t>
  </si>
  <si>
    <t xml:space="preserve">Method miss (pt)</t>
  </si>
  <si>
    <t xml:space="preserve">Naive miss (pt)</t>
  </si>
  <si>
    <t xml:space="preserve">Q3-25</t>
  </si>
  <si>
    <t xml:space="preserve">Q4-25</t>
  </si>
  <si>
    <t xml:space="preserve">Q1-26</t>
  </si>
  <si>
    <t xml:space="preserve">Q2-26</t>
  </si>
  <si>
    <t xml:space="preserve">Mean miss (pt)</t>
  </si>
  <si>
    <t xml:space="preserve">Average miss, method (pt)</t>
  </si>
  <si>
    <t xml:space="preserve">Measured flows beat "same as last quarter". The method runs low (Circle's own platform kept growing in ways the chain does not show), so the Q3-26 keep adds back the average miss. Circle's rate table made the past four quarters worse.</t>
  </si>
  <si>
    <t xml:space="preserve">How much float higher bill rates cost (rate_drag.py)</t>
  </si>
  <si>
    <t xml:space="preserve">Six-month effect of +1.00pt on the 3-month bill, % change in supply (Newey-West 95% range), bitcoin held constant:</t>
  </si>
  <si>
    <t xml:space="preserve">  All stablecoins, Mar 2019 to Sep 2026 (87 months): -24.0% (t -3.7; -36.6% to -11.4%), bitcoin +10% -&gt; +0.98%, R2 0.37</t>
  </si>
  <si>
    <t xml:space="preserve">  USDC, Mar 2019 to Sep 2026 (87 months): -30.2% (t -5.3; -41.4% to -19.0%), bitcoin +10% -&gt; -0.50%, R2 0.23</t>
  </si>
  <si>
    <t xml:space="preserve">  All stablecoins, Jan 2023 to Sep 2026 (45 months): -15.6% (t -9.1; -19.0% to -12.3%), bitcoin +10% -&gt; +0.87%, R2 0.54</t>
  </si>
  <si>
    <t xml:space="preserve">  USDC, Jan 2023 to Sep 2026 (45 months): -34.4% (t -8.7; -42.2% to -26.6%), bitcoin +10% -&gt; +1.45%, R2 0.52</t>
  </si>
  <si>
    <t xml:space="preserve">Robustness, all stablecoins, by number of monthly lags (sum, 95% range):</t>
  </si>
  <si>
    <t xml:space="preserve">   2 lags: full sample -21.4% (-34.6% to -8.3%), 2023 onward -13.0% (-19.4% to -6.6%)</t>
  </si>
  <si>
    <t xml:space="preserve">   3 lags: full sample -20.9% (-33.5% to -8.2%), 2023 onward -15.2% (-20.1% to -10.3%)</t>
  </si>
  <si>
    <t xml:space="preserve">   6 lags: full sample -24.0% (-36.6% to -11.4%), 2023 onward -15.6% (-19.0% to -12.3%)</t>
  </si>
  <si>
    <t xml:space="preserve">   9 lags: full sample -25.1% (-37.2% to -12.9%), 2023 onward -15.7% (-19.4% to -12.0%)</t>
  </si>
  <si>
    <t xml:space="preserve">  12 lags: full sample -31.0% (-45.3% to -16.6%), 2023 onward -15.7% (-19.6% to -11.9%)</t>
  </si>
  <si>
    <t xml:space="preserve">Drag used in valuation.py and model.py: 15.6% of float per 1.00pt of bill rate, both directions (all stablecoins since 2023; USDC share held).</t>
  </si>
  <si>
    <t xml:space="preserve">Sensitivities: the 95% range 12.3% to 19.0%, the full-sample 24.0%, and zero.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</si>
</sst>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0.000000"/>
    <numFmt numFmtId="166" formatCode="0.0%;\(0.0%\);\-"/>
    <numFmt numFmtId="167" formatCode="\$0.00;&quot;($&quot;0.00\);\-"/>
    <numFmt numFmtId="168" formatCode="#,##0.00;\(#,##0.00\);\-"/>
    <numFmt numFmtId="169" formatCode="0.00%;\(0.00%\);\-"/>
    <numFmt numFmtId="170" formatCode="#,##0;\(#,##0\);\-"/>
    <numFmt numFmtId="171" formatCode="0"/>
    <numFmt numFmtId="172" formatCode="#,##0.0;\(#,##0.0\);\-"/>
    <numFmt numFmtId="173" formatCode="#,##0.000"/>
    <numFmt numFmtId="174" formatCode="@"/>
    <numFmt numFmtId="175" formatCode="#,##0.0"/>
    <numFmt numFmtId="176" formatCode="#,##0.00;\(#,##0.00\);0.00"/>
    <numFmt numFmtId="177" formatCode="\$0.000"/>
    <numFmt numFmtId="178" formatCode="0%"/>
    <numFmt numFmtId="179" formatCode="0.0%"/>
    <numFmt numFmtId="180" formatCode="0.000"/>
    <numFmt numFmtId="181" formatCode="0.0\x"/>
    <numFmt numFmtId="182" formatCode="\$#,##0"/>
    <numFmt numFmtId="183" formatCode="\+0.0;\-0.0;0.0"/>
    <numFmt numFmtId="184" formatCode="0.00"/>
    <numFmt numFmtId="185" formatCode="\+0.00;\-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EF5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8" customFormat="false" ht="15" hidden="false" customHeight="false" outlineLevel="0" collapsed="false">
      <c r="A8" s="0" t="s">
        <v>4</v>
      </c>
      <c r="B8" s="3" t="n">
        <f aca="false">MAX(ABS(MIN(Model!C73:H73)),ABS(MAX(Model!C73:H73)))</f>
        <v>0</v>
      </c>
    </row>
    <row r="9" customFormat="false" ht="15" hidden="false" customHeight="false" outlineLevel="0" collapsed="false">
      <c r="A9" s="0" t="s">
        <v>5</v>
      </c>
      <c r="B9" s="4" t="n">
        <f aca="false">Hyperliquid!B24</f>
        <v>0.35742</v>
      </c>
    </row>
    <row r="10" customFormat="false" ht="15" hidden="false" customHeight="false" outlineLevel="0" collapsed="false">
      <c r="A10" s="0" t="s">
        <v>6</v>
      </c>
      <c r="B10" s="5" t="n">
        <f aca="false">Model!C43</f>
        <v>0.389897002246319</v>
      </c>
    </row>
    <row r="11" customFormat="false" ht="15" hidden="false" customHeight="false" outlineLevel="0" collapsed="false">
      <c r="A11" s="0" t="s">
        <v>7</v>
      </c>
      <c r="B11" s="5" t="n">
        <f aca="false">Consensus!E14</f>
        <v>1.34626108268347</v>
      </c>
    </row>
    <row r="12" customFormat="false" ht="15" hidden="false" customHeight="false" outlineLevel="0" collapsed="false">
      <c r="A12" s="0" t="s">
        <v>8</v>
      </c>
      <c r="B12" s="5" t="n">
        <f aca="false">Valuation!C16</f>
        <v>71.7765677537</v>
      </c>
    </row>
    <row r="13" customFormat="false" ht="15" hidden="false" customHeight="false" outlineLevel="0" collapsed="false">
      <c r="A13" s="0" t="s">
        <v>9</v>
      </c>
      <c r="B13" s="4" t="n">
        <f aca="false">Valuation!C18</f>
        <v>-0.100994892864479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10"/>
  </cols>
  <sheetData>
    <row r="1" customFormat="false" ht="16.15" hidden="false" customHeight="false" outlineLevel="0" collapsed="false">
      <c r="A1" s="1" t="s">
        <v>10</v>
      </c>
    </row>
    <row r="2" customFormat="false" ht="15" hidden="false" customHeight="false" outlineLevel="0" collapsed="false">
      <c r="A2" s="6" t="s">
        <v>11</v>
      </c>
    </row>
    <row r="4" customFormat="false" ht="15" hidden="false" customHeight="false" outlineLevel="0" collapsed="false">
      <c r="A4" s="7" t="s">
        <v>12</v>
      </c>
      <c r="B4" s="7" t="s">
        <v>13</v>
      </c>
      <c r="C4" s="7" t="s">
        <v>14</v>
      </c>
    </row>
    <row r="6" customFormat="false" ht="15" hidden="false" customHeight="false" outlineLevel="0" collapsed="false">
      <c r="A6" s="8" t="s">
        <v>15</v>
      </c>
      <c r="B6" s="9"/>
      <c r="C6" s="9"/>
    </row>
    <row r="7" customFormat="false" ht="15" hidden="false" customHeight="false" outlineLevel="0" collapsed="false">
      <c r="A7" s="10" t="s">
        <v>16</v>
      </c>
      <c r="B7" s="11" t="n">
        <v>73.4</v>
      </c>
      <c r="C7" s="12" t="s">
        <v>17</v>
      </c>
    </row>
    <row r="8" customFormat="false" ht="15" hidden="false" customHeight="false" outlineLevel="0" collapsed="false">
      <c r="A8" s="10" t="s">
        <v>18</v>
      </c>
      <c r="B8" s="11" t="n">
        <v>72.9482157606127</v>
      </c>
      <c r="C8" s="12" t="s">
        <v>19</v>
      </c>
    </row>
    <row r="9" customFormat="false" ht="15" hidden="false" customHeight="false" outlineLevel="0" collapsed="false">
      <c r="A9" s="10" t="s">
        <v>20</v>
      </c>
      <c r="B9" s="11" t="n">
        <v>74.4425335547905</v>
      </c>
      <c r="C9" s="12" t="s">
        <v>21</v>
      </c>
    </row>
    <row r="10" customFormat="false" ht="15" hidden="false" customHeight="false" outlineLevel="0" collapsed="false">
      <c r="A10" s="10" t="s">
        <v>22</v>
      </c>
      <c r="B10" s="11" t="n">
        <v>71.5764452921163</v>
      </c>
      <c r="C10" s="12" t="s">
        <v>23</v>
      </c>
    </row>
    <row r="11" customFormat="false" ht="15" hidden="false" customHeight="false" outlineLevel="0" collapsed="false">
      <c r="A11" s="10" t="s">
        <v>24</v>
      </c>
      <c r="B11" s="13" t="n">
        <v>0.31806274943129</v>
      </c>
      <c r="C11" s="12" t="s">
        <v>25</v>
      </c>
    </row>
    <row r="12" customFormat="false" ht="15" hidden="false" customHeight="false" outlineLevel="0" collapsed="false">
      <c r="A12" s="10" t="s">
        <v>26</v>
      </c>
      <c r="B12" s="13" t="n">
        <v>0.1563</v>
      </c>
      <c r="C12" s="12" t="s">
        <v>27</v>
      </c>
    </row>
    <row r="13" customFormat="false" ht="15" hidden="false" customHeight="false" outlineLevel="0" collapsed="false">
      <c r="A13" s="10" t="s">
        <v>28</v>
      </c>
      <c r="B13" s="14" t="n">
        <v>0.0376</v>
      </c>
      <c r="C13" s="12" t="s">
        <v>29</v>
      </c>
    </row>
    <row r="15" customFormat="false" ht="15" hidden="false" customHeight="false" outlineLevel="0" collapsed="false">
      <c r="A15" s="8" t="s">
        <v>30</v>
      </c>
      <c r="B15" s="9"/>
      <c r="C15" s="9"/>
    </row>
    <row r="16" customFormat="false" ht="15" hidden="false" customHeight="false" outlineLevel="0" collapsed="false">
      <c r="A16" s="10" t="s">
        <v>31</v>
      </c>
      <c r="B16" s="14" t="n">
        <v>0.0355</v>
      </c>
      <c r="C16" s="12" t="s">
        <v>32</v>
      </c>
    </row>
    <row r="17" customFormat="false" ht="15" hidden="false" customHeight="false" outlineLevel="0" collapsed="false">
      <c r="A17" s="10" t="s">
        <v>33</v>
      </c>
      <c r="B17" s="15" t="n">
        <v>0.039</v>
      </c>
      <c r="C17" s="12" t="s">
        <v>34</v>
      </c>
    </row>
    <row r="18" customFormat="false" ht="15" hidden="false" customHeight="false" outlineLevel="0" collapsed="false">
      <c r="A18" s="10" t="s">
        <v>35</v>
      </c>
      <c r="B18" s="14" t="n">
        <v>0.0023</v>
      </c>
      <c r="C18" s="12" t="s">
        <v>36</v>
      </c>
    </row>
    <row r="19" customFormat="false" ht="15" hidden="false" customHeight="false" outlineLevel="0" collapsed="false">
      <c r="A19" s="10" t="s">
        <v>37</v>
      </c>
      <c r="B19" s="14" t="n">
        <v>0.0422</v>
      </c>
      <c r="C19" s="12" t="s">
        <v>38</v>
      </c>
    </row>
    <row r="20" customFormat="false" ht="15" hidden="false" customHeight="false" outlineLevel="0" collapsed="false">
      <c r="A20" s="10" t="s">
        <v>39</v>
      </c>
      <c r="B20" s="14" t="n">
        <v>0.0434</v>
      </c>
      <c r="C20" s="12" t="s">
        <v>40</v>
      </c>
    </row>
    <row r="21" customFormat="false" ht="15" hidden="false" customHeight="false" outlineLevel="0" collapsed="false">
      <c r="A21" s="10" t="s">
        <v>41</v>
      </c>
      <c r="B21" s="14" t="n">
        <v>0.045</v>
      </c>
      <c r="C21" s="12" t="s">
        <v>40</v>
      </c>
    </row>
    <row r="22" customFormat="false" ht="15" hidden="false" customHeight="false" outlineLevel="0" collapsed="false">
      <c r="A22" s="10" t="s">
        <v>42</v>
      </c>
      <c r="B22" s="14" t="n">
        <v>0.047</v>
      </c>
      <c r="C22" s="12" t="s">
        <v>40</v>
      </c>
    </row>
    <row r="23" customFormat="false" ht="15" hidden="false" customHeight="false" outlineLevel="0" collapsed="false">
      <c r="A23" s="10" t="s">
        <v>43</v>
      </c>
      <c r="B23" s="16" t="n">
        <f aca="false">2*Assumptions!$B$20-Assumptions!$B$19</f>
        <v>0.0446</v>
      </c>
      <c r="C23" s="12" t="s">
        <v>44</v>
      </c>
    </row>
    <row r="24" customFormat="false" ht="15" hidden="false" customHeight="false" outlineLevel="0" collapsed="false">
      <c r="A24" s="10" t="s">
        <v>45</v>
      </c>
      <c r="B24" s="16" t="n">
        <f aca="false">2*Assumptions!$B$21-Assumptions!$B$20</f>
        <v>0.0466</v>
      </c>
      <c r="C24" s="12"/>
    </row>
    <row r="25" customFormat="false" ht="15" hidden="false" customHeight="false" outlineLevel="0" collapsed="false">
      <c r="A25" s="10" t="s">
        <v>46</v>
      </c>
      <c r="B25" s="16" t="n">
        <f aca="false">2*Assumptions!$B$22-Assumptions!$B$21</f>
        <v>0.049</v>
      </c>
      <c r="C25" s="12"/>
    </row>
    <row r="26" customFormat="false" ht="15" hidden="false" customHeight="false" outlineLevel="0" collapsed="false">
      <c r="A26" s="10" t="s">
        <v>47</v>
      </c>
      <c r="B26" s="16" t="n">
        <f aca="false">AVERAGE(Assumptions!$B$23,Assumptions!$B$24)</f>
        <v>0.0456</v>
      </c>
      <c r="C26" s="12"/>
    </row>
    <row r="27" customFormat="false" ht="15" hidden="false" customHeight="false" outlineLevel="0" collapsed="false">
      <c r="A27" s="10" t="s">
        <v>48</v>
      </c>
      <c r="B27" s="16" t="n">
        <f aca="false">Assumptions!$B$24</f>
        <v>0.0466</v>
      </c>
      <c r="C27" s="12"/>
    </row>
    <row r="28" customFormat="false" ht="15" hidden="false" customHeight="false" outlineLevel="0" collapsed="false">
      <c r="A28" s="10" t="s">
        <v>49</v>
      </c>
      <c r="B28" s="16" t="n">
        <f aca="false">AVERAGE(Assumptions!$B$24,Assumptions!$B$25)</f>
        <v>0.0478</v>
      </c>
      <c r="C28" s="12"/>
    </row>
    <row r="29" customFormat="false" ht="15" hidden="false" customHeight="false" outlineLevel="0" collapsed="false">
      <c r="A29" s="10" t="s">
        <v>50</v>
      </c>
      <c r="B29" s="16" t="n">
        <f aca="false">Assumptions!$B$25</f>
        <v>0.049</v>
      </c>
      <c r="C29" s="12"/>
    </row>
    <row r="31" customFormat="false" ht="15" hidden="false" customHeight="false" outlineLevel="0" collapsed="false">
      <c r="A31" s="8" t="s">
        <v>51</v>
      </c>
      <c r="B31" s="9"/>
      <c r="C31" s="9"/>
    </row>
    <row r="32" customFormat="false" ht="15" hidden="false" customHeight="false" outlineLevel="0" collapsed="false">
      <c r="A32" s="10" t="s">
        <v>52</v>
      </c>
      <c r="B32" s="4" t="n">
        <f aca="false">ROUND(Hyperliquid!$B$24,4)</f>
        <v>0.3574</v>
      </c>
      <c r="C32" s="12" t="s">
        <v>53</v>
      </c>
    </row>
    <row r="33" customFormat="false" ht="15" hidden="false" customHeight="false" outlineLevel="0" collapsed="false">
      <c r="A33" s="10" t="s">
        <v>54</v>
      </c>
      <c r="B33" s="14" t="n">
        <v>0.0355</v>
      </c>
      <c r="C33" s="12" t="s">
        <v>55</v>
      </c>
    </row>
    <row r="34" customFormat="false" ht="15" hidden="false" customHeight="false" outlineLevel="0" collapsed="false">
      <c r="A34" s="10" t="s">
        <v>56</v>
      </c>
      <c r="B34" s="17" t="n">
        <v>737</v>
      </c>
      <c r="C34" s="12" t="s">
        <v>57</v>
      </c>
    </row>
    <row r="35" customFormat="false" ht="15" hidden="false" customHeight="false" outlineLevel="0" collapsed="false">
      <c r="A35" s="10" t="s">
        <v>58</v>
      </c>
      <c r="B35" s="17" t="n">
        <v>360</v>
      </c>
      <c r="C35" s="12" t="s">
        <v>57</v>
      </c>
    </row>
    <row r="36" customFormat="false" ht="15" hidden="false" customHeight="false" outlineLevel="0" collapsed="false">
      <c r="A36" s="10" t="s">
        <v>59</v>
      </c>
      <c r="B36" s="18" t="n">
        <f aca="false">1-Assumptions!$B$35/Assumptions!$B$34</f>
        <v>0.511533242876527</v>
      </c>
      <c r="C36" s="12" t="s">
        <v>60</v>
      </c>
    </row>
    <row r="37" customFormat="false" ht="15" hidden="false" customHeight="false" outlineLevel="0" collapsed="false">
      <c r="A37" s="10" t="s">
        <v>61</v>
      </c>
      <c r="B37" s="19" t="n">
        <v>0</v>
      </c>
      <c r="C37" s="12" t="s">
        <v>62</v>
      </c>
    </row>
    <row r="38" customFormat="false" ht="15" hidden="false" customHeight="false" outlineLevel="0" collapsed="false">
      <c r="A38" s="10" t="s">
        <v>63</v>
      </c>
      <c r="B38" s="18" t="n">
        <f aca="false">IF(Assumptions!$B$37=1,Assumptions!$B$36,Assumptions!$B$32)</f>
        <v>0.3574</v>
      </c>
      <c r="C38" s="12" t="s">
        <v>64</v>
      </c>
    </row>
    <row r="40" customFormat="false" ht="15" hidden="false" customHeight="false" outlineLevel="0" collapsed="false">
      <c r="A40" s="8" t="s">
        <v>65</v>
      </c>
      <c r="B40" s="9"/>
      <c r="C40" s="9"/>
    </row>
    <row r="41" customFormat="false" ht="15" hidden="false" customHeight="false" outlineLevel="0" collapsed="false">
      <c r="A41" s="10" t="s">
        <v>66</v>
      </c>
      <c r="B41" s="20" t="n">
        <v>64.8</v>
      </c>
      <c r="C41" s="12" t="s">
        <v>67</v>
      </c>
    </row>
    <row r="42" customFormat="false" ht="15" hidden="false" customHeight="false" outlineLevel="0" collapsed="false">
      <c r="A42" s="10" t="s">
        <v>68</v>
      </c>
      <c r="B42" s="21" t="n">
        <v>0.1</v>
      </c>
      <c r="C42" s="12" t="s">
        <v>69</v>
      </c>
    </row>
    <row r="43" customFormat="false" ht="15" hidden="false" customHeight="false" outlineLevel="0" collapsed="false">
      <c r="A43" s="10" t="s">
        <v>70</v>
      </c>
      <c r="B43" s="22" t="n">
        <v>90</v>
      </c>
      <c r="C43" s="12" t="s">
        <v>71</v>
      </c>
    </row>
    <row r="44" customFormat="false" ht="15" hidden="false" customHeight="false" outlineLevel="0" collapsed="false">
      <c r="A44" s="10" t="s">
        <v>72</v>
      </c>
      <c r="B44" s="22" t="n">
        <v>90</v>
      </c>
      <c r="C44" s="12" t="s">
        <v>73</v>
      </c>
    </row>
    <row r="45" customFormat="false" ht="15" hidden="false" customHeight="false" outlineLevel="0" collapsed="false">
      <c r="A45" s="10" t="s">
        <v>74</v>
      </c>
      <c r="B45" s="20" t="n">
        <v>62.2</v>
      </c>
      <c r="C45" s="12" t="s">
        <v>75</v>
      </c>
    </row>
    <row r="46" customFormat="false" ht="15" hidden="false" customHeight="false" outlineLevel="0" collapsed="false">
      <c r="A46" s="10" t="s">
        <v>76</v>
      </c>
      <c r="B46" s="20" t="n">
        <v>2</v>
      </c>
      <c r="C46" s="12" t="s">
        <v>77</v>
      </c>
    </row>
    <row r="47" customFormat="false" ht="15" hidden="false" customHeight="false" outlineLevel="0" collapsed="false">
      <c r="A47" s="10" t="s">
        <v>78</v>
      </c>
      <c r="B47" s="20" t="n">
        <v>585</v>
      </c>
      <c r="C47" s="12" t="s">
        <v>79</v>
      </c>
    </row>
    <row r="48" customFormat="false" ht="15" hidden="false" customHeight="false" outlineLevel="0" collapsed="false">
      <c r="A48" s="10" t="s">
        <v>80</v>
      </c>
      <c r="B48" s="20" t="n">
        <v>281</v>
      </c>
      <c r="C48" s="12" t="s">
        <v>81</v>
      </c>
    </row>
    <row r="49" customFormat="false" ht="15" hidden="false" customHeight="false" outlineLevel="0" collapsed="false">
      <c r="A49" s="10" t="s">
        <v>82</v>
      </c>
      <c r="B49" s="21" t="n">
        <v>0.08</v>
      </c>
      <c r="C49" s="12" t="s">
        <v>69</v>
      </c>
    </row>
    <row r="50" customFormat="false" ht="15" hidden="false" customHeight="false" outlineLevel="0" collapsed="false">
      <c r="A50" s="10" t="s">
        <v>83</v>
      </c>
      <c r="B50" s="20" t="n">
        <v>53.6</v>
      </c>
      <c r="C50" s="12" t="s">
        <v>84</v>
      </c>
    </row>
    <row r="51" customFormat="false" ht="15" hidden="false" customHeight="false" outlineLevel="0" collapsed="false">
      <c r="A51" s="10" t="s">
        <v>85</v>
      </c>
      <c r="B51" s="14" t="n">
        <v>0.0125</v>
      </c>
      <c r="C51" s="12" t="s">
        <v>69</v>
      </c>
    </row>
    <row r="52" customFormat="false" ht="15" hidden="false" customHeight="false" outlineLevel="0" collapsed="false">
      <c r="A52" s="10" t="s">
        <v>86</v>
      </c>
      <c r="B52" s="20" t="n">
        <v>29.9</v>
      </c>
      <c r="C52" s="12" t="s">
        <v>84</v>
      </c>
    </row>
    <row r="53" customFormat="false" ht="15" hidden="false" customHeight="false" outlineLevel="0" collapsed="false">
      <c r="A53" s="10" t="s">
        <v>87</v>
      </c>
      <c r="B53" s="20" t="n">
        <v>25</v>
      </c>
      <c r="C53" s="12" t="s">
        <v>88</v>
      </c>
    </row>
    <row r="54" customFormat="false" ht="15" hidden="false" customHeight="false" outlineLevel="0" collapsed="false">
      <c r="A54" s="10" t="s">
        <v>89</v>
      </c>
      <c r="B54" s="21" t="n">
        <v>0.051</v>
      </c>
      <c r="C54" s="12" t="s">
        <v>90</v>
      </c>
    </row>
    <row r="55" customFormat="false" ht="15" hidden="false" customHeight="false" outlineLevel="0" collapsed="false">
      <c r="A55" s="10" t="s">
        <v>91</v>
      </c>
      <c r="B55" s="13" t="n">
        <v>0.1699</v>
      </c>
      <c r="C55" s="12" t="s">
        <v>92</v>
      </c>
    </row>
    <row r="56" customFormat="false" ht="15" hidden="false" customHeight="false" outlineLevel="0" collapsed="false">
      <c r="A56" s="10" t="s">
        <v>93</v>
      </c>
      <c r="B56" s="20" t="n">
        <v>478.8</v>
      </c>
      <c r="C56" s="12" t="s">
        <v>94</v>
      </c>
    </row>
    <row r="57" customFormat="false" ht="15" hidden="false" customHeight="false" outlineLevel="0" collapsed="false">
      <c r="A57" s="10" t="s">
        <v>95</v>
      </c>
      <c r="B57" s="20" t="n">
        <v>108.991</v>
      </c>
      <c r="C57" s="12" t="s">
        <v>96</v>
      </c>
    </row>
    <row r="59" customFormat="false" ht="15" hidden="false" customHeight="false" outlineLevel="0" collapsed="false">
      <c r="A59" s="8" t="s">
        <v>97</v>
      </c>
      <c r="B59" s="9"/>
      <c r="C59" s="9"/>
    </row>
    <row r="60" customFormat="false" ht="15" hidden="false" customHeight="false" outlineLevel="0" collapsed="false">
      <c r="A60" s="10" t="s">
        <v>98</v>
      </c>
      <c r="B60" s="23" t="n">
        <v>268.637</v>
      </c>
      <c r="C60" s="12" t="s">
        <v>99</v>
      </c>
    </row>
    <row r="61" customFormat="false" ht="15" hidden="false" customHeight="false" outlineLevel="0" collapsed="false">
      <c r="A61" s="10" t="s">
        <v>100</v>
      </c>
      <c r="B61" s="14" t="n">
        <v>0.005</v>
      </c>
      <c r="C61" s="12" t="s">
        <v>101</v>
      </c>
    </row>
    <row r="62" customFormat="false" ht="15" hidden="false" customHeight="false" outlineLevel="0" collapsed="false">
      <c r="A62" s="10" t="s">
        <v>102</v>
      </c>
      <c r="B62" s="23" t="n">
        <v>1.237011</v>
      </c>
      <c r="C62" s="12" t="s">
        <v>103</v>
      </c>
    </row>
    <row r="63" customFormat="false" ht="15" hidden="false" customHeight="false" outlineLevel="0" collapsed="false">
      <c r="A63" s="10" t="s">
        <v>104</v>
      </c>
      <c r="B63" s="20" t="n">
        <v>100</v>
      </c>
      <c r="C63" s="12" t="s">
        <v>105</v>
      </c>
    </row>
    <row r="64" customFormat="false" ht="15" hidden="false" customHeight="false" outlineLevel="0" collapsed="false">
      <c r="A64" s="10" t="s">
        <v>106</v>
      </c>
      <c r="B64" s="20" t="n">
        <v>400</v>
      </c>
      <c r="C64" s="12" t="s">
        <v>107</v>
      </c>
    </row>
    <row r="65" customFormat="false" ht="15" hidden="false" customHeight="false" outlineLevel="0" collapsed="false">
      <c r="A65" s="10" t="s">
        <v>108</v>
      </c>
      <c r="B65" s="24" t="n">
        <v>79.84</v>
      </c>
      <c r="C65" s="12" t="s">
        <v>109</v>
      </c>
    </row>
    <row r="66" customFormat="false" ht="15" hidden="false" customHeight="false" outlineLevel="0" collapsed="false">
      <c r="A66" s="10" t="s">
        <v>110</v>
      </c>
      <c r="B66" s="25" t="n">
        <f aca="false">Assumptions!$B$64/Assumptions!$B$65</f>
        <v>5.01002004008016</v>
      </c>
      <c r="C66" s="12" t="s">
        <v>111</v>
      </c>
    </row>
    <row r="67" customFormat="false" ht="15" hidden="false" customHeight="false" outlineLevel="0" collapsed="false">
      <c r="A67" s="10" t="s">
        <v>112</v>
      </c>
      <c r="B67" s="20" t="n">
        <v>23.1</v>
      </c>
      <c r="C67" s="12" t="s">
        <v>113</v>
      </c>
    </row>
    <row r="68" customFormat="false" ht="15" hidden="false" customHeight="false" outlineLevel="0" collapsed="false">
      <c r="A68" s="10" t="s">
        <v>114</v>
      </c>
      <c r="B68" s="20" t="n">
        <v>74.7</v>
      </c>
      <c r="C68" s="12" t="s">
        <v>115</v>
      </c>
    </row>
    <row r="69" customFormat="false" ht="15" hidden="false" customHeight="false" outlineLevel="0" collapsed="false">
      <c r="A69" s="10" t="s">
        <v>116</v>
      </c>
      <c r="B69" s="20" t="n">
        <v>20.8</v>
      </c>
      <c r="C69" s="12" t="s">
        <v>117</v>
      </c>
    </row>
    <row r="70" customFormat="false" ht="15" hidden="false" customHeight="false" outlineLevel="0" collapsed="false">
      <c r="A70" s="10" t="s">
        <v>118</v>
      </c>
      <c r="B70" s="20" t="n">
        <v>20.2</v>
      </c>
      <c r="C70" s="12" t="s">
        <v>119</v>
      </c>
    </row>
    <row r="72" customFormat="false" ht="15" hidden="false" customHeight="false" outlineLevel="0" collapsed="false">
      <c r="A72" s="8" t="s">
        <v>120</v>
      </c>
      <c r="B72" s="9"/>
      <c r="C72" s="9"/>
    </row>
    <row r="73" customFormat="false" ht="15" hidden="false" customHeight="false" outlineLevel="0" collapsed="false">
      <c r="A73" s="10" t="s">
        <v>121</v>
      </c>
      <c r="B73" s="20" t="n">
        <v>1730.126</v>
      </c>
      <c r="C73" s="12" t="s">
        <v>99</v>
      </c>
    </row>
    <row r="74" customFormat="false" ht="15" hidden="false" customHeight="false" outlineLevel="0" collapsed="false">
      <c r="A74" s="10" t="s">
        <v>122</v>
      </c>
      <c r="B74" s="20" t="n">
        <v>889.311</v>
      </c>
      <c r="C74" s="12" t="s">
        <v>99</v>
      </c>
    </row>
    <row r="75" customFormat="false" ht="15" hidden="false" customHeight="false" outlineLevel="0" collapsed="false">
      <c r="A75" s="10" t="s">
        <v>123</v>
      </c>
      <c r="B75" s="20" t="n">
        <v>233.628000000012</v>
      </c>
      <c r="C75" s="12" t="s">
        <v>124</v>
      </c>
    </row>
    <row r="76" customFormat="false" ht="15" hidden="false" customHeight="false" outlineLevel="0" collapsed="false">
      <c r="A76" s="10" t="s">
        <v>125</v>
      </c>
      <c r="B76" s="20" t="n">
        <v>734.496</v>
      </c>
      <c r="C76" s="12" t="s">
        <v>126</v>
      </c>
    </row>
    <row r="77" customFormat="false" ht="15" hidden="false" customHeight="false" outlineLevel="0" collapsed="false">
      <c r="A77" s="10" t="s">
        <v>127</v>
      </c>
      <c r="B77" s="20" t="n">
        <v>650.354999999996</v>
      </c>
      <c r="C77" s="12" t="s">
        <v>128</v>
      </c>
    </row>
    <row r="78" customFormat="false" ht="15" hidden="false" customHeight="false" outlineLevel="0" collapsed="false">
      <c r="A78" s="10" t="s">
        <v>129</v>
      </c>
      <c r="B78" s="20" t="n">
        <v>242.2</v>
      </c>
      <c r="C78" s="12" t="s">
        <v>130</v>
      </c>
    </row>
    <row r="79" customFormat="false" ht="15" hidden="false" customHeight="false" outlineLevel="0" collapsed="false">
      <c r="A79" s="10" t="s">
        <v>131</v>
      </c>
      <c r="B79" s="20" t="n">
        <v>485.741000000006</v>
      </c>
      <c r="C79" s="12" t="s">
        <v>132</v>
      </c>
    </row>
    <row r="80" customFormat="false" ht="15" hidden="false" customHeight="false" outlineLevel="0" collapsed="false">
      <c r="A80" s="10" t="s">
        <v>133</v>
      </c>
      <c r="B80" s="20" t="n">
        <v>3509.97500000001</v>
      </c>
      <c r="C80" s="1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7"/>
    <col collapsed="false" customWidth="true" hidden="false" outlineLevel="0" max="8" min="3" style="0" width="12"/>
  </cols>
  <sheetData>
    <row r="1" customFormat="false" ht="15" hidden="false" customHeight="false" outlineLevel="0" collapsed="false">
      <c r="A1" s="26" t="s">
        <v>135</v>
      </c>
    </row>
    <row r="3" customFormat="false" ht="15" hidden="false" customHeight="false" outlineLevel="0" collapsed="false">
      <c r="A3" s="27" t="s">
        <v>136</v>
      </c>
      <c r="B3" s="27" t="s">
        <v>137</v>
      </c>
      <c r="C3" s="27" t="s">
        <v>138</v>
      </c>
      <c r="D3" s="27" t="s">
        <v>139</v>
      </c>
      <c r="E3" s="27" t="s">
        <v>140</v>
      </c>
      <c r="F3" s="27" t="s">
        <v>141</v>
      </c>
      <c r="G3" s="27" t="s">
        <v>142</v>
      </c>
      <c r="H3" s="27" t="s">
        <v>143</v>
      </c>
    </row>
    <row r="5" customFormat="false" ht="15" hidden="false" customHeight="false" outlineLevel="0" collapsed="false">
      <c r="A5" s="8" t="s">
        <v>144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A6" s="10" t="s">
        <v>145</v>
      </c>
      <c r="C6" s="28" t="n">
        <v>1</v>
      </c>
      <c r="D6" s="28" t="n">
        <v>2</v>
      </c>
      <c r="E6" s="28" t="n">
        <v>3</v>
      </c>
      <c r="F6" s="28" t="n">
        <v>4</v>
      </c>
      <c r="G6" s="28" t="n">
        <v>5</v>
      </c>
      <c r="H6" s="28" t="n">
        <v>6</v>
      </c>
    </row>
    <row r="7" customFormat="false" ht="15" hidden="false" customHeight="false" outlineLevel="0" collapsed="false">
      <c r="A7" s="10" t="s">
        <v>146</v>
      </c>
      <c r="C7" s="28" t="n">
        <v>92</v>
      </c>
      <c r="D7" s="28" t="n">
        <v>92</v>
      </c>
      <c r="E7" s="28" t="n">
        <v>90</v>
      </c>
      <c r="F7" s="28" t="n">
        <v>91</v>
      </c>
      <c r="G7" s="28" t="n">
        <v>92</v>
      </c>
      <c r="H7" s="28" t="n">
        <v>92</v>
      </c>
    </row>
    <row r="8" customFormat="false" ht="15" hidden="false" customHeight="false" outlineLevel="0" collapsed="false">
      <c r="A8" s="10" t="s">
        <v>147</v>
      </c>
      <c r="C8" s="29" t="s">
        <v>148</v>
      </c>
      <c r="D8" s="29" t="s">
        <v>148</v>
      </c>
      <c r="E8" s="29" t="s">
        <v>149</v>
      </c>
      <c r="F8" s="29" t="s">
        <v>149</v>
      </c>
      <c r="G8" s="29" t="s">
        <v>149</v>
      </c>
      <c r="H8" s="29" t="s">
        <v>149</v>
      </c>
    </row>
    <row r="9" customFormat="false" ht="15" hidden="false" customHeight="false" outlineLevel="0" collapsed="false">
      <c r="A9" s="10" t="s">
        <v>30</v>
      </c>
      <c r="B9" s="30" t="s">
        <v>150</v>
      </c>
      <c r="C9" s="31" t="n">
        <f aca="false">Assumptions!$B$16</f>
        <v>0.0355</v>
      </c>
      <c r="D9" s="31" t="n">
        <f aca="false">Assumptions!$B$17</f>
        <v>0.039</v>
      </c>
      <c r="E9" s="16" t="n">
        <f aca="false">Assumptions!$B$26-Assumptions!$B$18</f>
        <v>0.0433</v>
      </c>
      <c r="F9" s="16" t="n">
        <f aca="false">Assumptions!$B$27-Assumptions!$B$18</f>
        <v>0.0443</v>
      </c>
      <c r="G9" s="16" t="n">
        <f aca="false">Assumptions!$B$28-Assumptions!$B$18</f>
        <v>0.0455</v>
      </c>
      <c r="H9" s="16" t="n">
        <f aca="false">Assumptions!$B$29-Assumptions!$B$18</f>
        <v>0.0467</v>
      </c>
    </row>
    <row r="10" customFormat="false" ht="15" hidden="false" customHeight="false" outlineLevel="0" collapsed="false">
      <c r="A10" s="10" t="s">
        <v>151</v>
      </c>
      <c r="B10" s="30" t="s">
        <v>152</v>
      </c>
      <c r="C10" s="11"/>
      <c r="D10" s="32" t="n">
        <f aca="false">Assumptions!$B$8</f>
        <v>72.9482157606127</v>
      </c>
      <c r="E10" s="33" t="n">
        <f aca="false">D10*(1+Assumptions!$B$11)^0.25</f>
        <v>78.16254568765</v>
      </c>
      <c r="F10" s="33" t="n">
        <f aca="false">E10*(1+Assumptions!$B$11)^0.25</f>
        <v>83.749595307753</v>
      </c>
      <c r="G10" s="33" t="n">
        <f aca="false">F10*(1+Assumptions!$B$11)^0.25</f>
        <v>89.736006580971</v>
      </c>
      <c r="H10" s="33" t="n">
        <f aca="false">G10*(1+Assumptions!$B$11)^0.25</f>
        <v>96.1503258315401</v>
      </c>
    </row>
    <row r="11" customFormat="false" ht="15" hidden="false" customHeight="false" outlineLevel="0" collapsed="false">
      <c r="A11" s="34" t="s">
        <v>153</v>
      </c>
      <c r="B11" s="30" t="s">
        <v>152</v>
      </c>
      <c r="C11" s="35" t="n">
        <f aca="false">Assumptions!$B$7</f>
        <v>73.4</v>
      </c>
      <c r="D11" s="36" t="n">
        <f aca="false">D10</f>
        <v>72.9482157606127</v>
      </c>
      <c r="E11" s="36" t="n">
        <f aca="false">E10*(1-Assumptions!$B$12*(E9-Assumptions!$B$13)*100)</f>
        <v>71.1989663297915</v>
      </c>
      <c r="F11" s="36" t="n">
        <f aca="false">F10*(1-Assumptions!$B$12*(F9-Assumptions!$B$13)*100)</f>
        <v>74.9792539375298</v>
      </c>
      <c r="G11" s="36" t="n">
        <f aca="false">G10*(1-Assumptions!$B$12*(G9-Assumptions!$B$13)*100)</f>
        <v>78.6556736963725</v>
      </c>
      <c r="H11" s="36" t="n">
        <f aca="false">H10*(1-Assumptions!$B$12*(H9-Assumptions!$B$13)*100)</f>
        <v>82.4745765375427</v>
      </c>
    </row>
    <row r="12" customFormat="false" ht="15" hidden="false" customHeight="false" outlineLevel="0" collapsed="false">
      <c r="A12" s="10" t="s">
        <v>154</v>
      </c>
      <c r="B12" s="30" t="s">
        <v>152</v>
      </c>
      <c r="C12" s="32" t="n">
        <f aca="false">Assumptions!$B$9</f>
        <v>74.4425335547905</v>
      </c>
      <c r="D12" s="32" t="n">
        <f aca="false">Assumptions!$B$10</f>
        <v>71.5764452921163</v>
      </c>
      <c r="E12" s="33" t="n">
        <f aca="false">E11*(1+Assumptions!$B$11)^0.125</f>
        <v>73.6996964924971</v>
      </c>
      <c r="F12" s="33" t="n">
        <f aca="false">F11*(1+Assumptions!$B$11)^0.125</f>
        <v>77.6127596127419</v>
      </c>
      <c r="G12" s="33" t="n">
        <f aca="false">G11*(1+Assumptions!$B$11)^0.125</f>
        <v>81.4183067206969</v>
      </c>
      <c r="H12" s="33" t="n">
        <f aca="false">H11*(1+Assumptions!$B$11)^0.125</f>
        <v>85.3713413620273</v>
      </c>
    </row>
    <row r="13" customFormat="false" ht="15" hidden="false" customHeight="false" outlineLevel="0" collapsed="false">
      <c r="A13" s="10" t="s">
        <v>155</v>
      </c>
      <c r="B13" s="30" t="s">
        <v>156</v>
      </c>
      <c r="C13" s="37" t="n">
        <f aca="false">Assumptions!$B$43</f>
        <v>90</v>
      </c>
      <c r="D13" s="37" t="n">
        <f aca="false">Assumptions!$B$44</f>
        <v>90</v>
      </c>
      <c r="E13" s="38" t="n">
        <f aca="false">Assumptions!$B$45/2</f>
        <v>31.1</v>
      </c>
      <c r="F13" s="38" t="n">
        <f aca="false">Assumptions!$B$45/2</f>
        <v>31.1</v>
      </c>
      <c r="G13" s="20" t="n">
        <v>0</v>
      </c>
      <c r="H13" s="20" t="n">
        <v>0</v>
      </c>
    </row>
    <row r="15" customFormat="false" ht="15" hidden="false" customHeight="false" outlineLevel="0" collapsed="false">
      <c r="A15" s="8" t="s">
        <v>157</v>
      </c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34" t="s">
        <v>158</v>
      </c>
      <c r="B16" s="30" t="s">
        <v>156</v>
      </c>
      <c r="C16" s="39" t="n">
        <f aca="false">C11*C9*1000*C7/365</f>
        <v>656.779178082192</v>
      </c>
      <c r="D16" s="39" t="n">
        <f aca="false">D11*D9*1000*D7/365</f>
        <v>717.090953833092</v>
      </c>
      <c r="E16" s="39" t="n">
        <f aca="false">E11*E9*1000*E7/365</f>
        <v>760.170881608761</v>
      </c>
      <c r="F16" s="39" t="n">
        <f aca="false">F11*F9*1000*F7/365</f>
        <v>828.120181913326</v>
      </c>
      <c r="G16" s="39" t="n">
        <f aca="false">G11*G9*1000*G7/365</f>
        <v>902.062055049356</v>
      </c>
      <c r="H16" s="39" t="n">
        <f aca="false">H11*H9*1000*H7/365</f>
        <v>970.804851057256</v>
      </c>
    </row>
    <row r="17" customFormat="false" ht="15" hidden="false" customHeight="false" outlineLevel="0" collapsed="false">
      <c r="A17" s="10" t="s">
        <v>159</v>
      </c>
      <c r="B17" s="30" t="s">
        <v>156</v>
      </c>
      <c r="C17" s="38" t="n">
        <f aca="false">C11*(Assumptions!$B$33*Assumptions!$B$32+(C9-Assumptions!$B$33)*Assumptions!$B$38)*1000*C7/365</f>
        <v>234.732878246575</v>
      </c>
      <c r="D17" s="38" t="n">
        <f aca="false">D11*(Assumptions!$B$33*Assumptions!$B$32+(D9-Assumptions!$B$33)*Assumptions!$B$38)*1000*D7/365</f>
        <v>256.288306899947</v>
      </c>
      <c r="E17" s="38" t="n">
        <f aca="false">E11*(Assumptions!$B$33*Assumptions!$B$32+(E9-Assumptions!$B$33)*Assumptions!$B$38)*1000*E7/365</f>
        <v>271.685073086971</v>
      </c>
      <c r="F17" s="38" t="n">
        <f aca="false">F11*(Assumptions!$B$33*Assumptions!$B$32+(F9-Assumptions!$B$33)*Assumptions!$B$38)*1000*F7/365</f>
        <v>295.970153015823</v>
      </c>
      <c r="G17" s="38" t="n">
        <f aca="false">G11*(Assumptions!$B$33*Assumptions!$B$32+(G9-Assumptions!$B$33)*Assumptions!$B$38)*1000*G7/365</f>
        <v>322.39697847464</v>
      </c>
      <c r="H17" s="38" t="n">
        <f aca="false">H11*(Assumptions!$B$33*Assumptions!$B$32+(H9-Assumptions!$B$33)*Assumptions!$B$38)*1000*H7/365</f>
        <v>346.965653767863</v>
      </c>
    </row>
    <row r="18" customFormat="false" ht="15" hidden="false" customHeight="false" outlineLevel="0" collapsed="false">
      <c r="A18" s="10" t="s">
        <v>160</v>
      </c>
      <c r="B18" s="30" t="s">
        <v>156</v>
      </c>
      <c r="C18" s="38" t="n">
        <f aca="false">C16-C17</f>
        <v>422.046299835617</v>
      </c>
      <c r="D18" s="38" t="n">
        <f aca="false">D16-D17</f>
        <v>460.802646933145</v>
      </c>
      <c r="E18" s="38" t="n">
        <f aca="false">E16-E17</f>
        <v>488.48580852179</v>
      </c>
      <c r="F18" s="38" t="n">
        <f aca="false">F16-F17</f>
        <v>532.150028897503</v>
      </c>
      <c r="G18" s="38" t="n">
        <f aca="false">G16-G17</f>
        <v>579.665076574717</v>
      </c>
      <c r="H18" s="38" t="n">
        <f aca="false">H16-H17</f>
        <v>623.839197289393</v>
      </c>
    </row>
    <row r="19" customFormat="false" ht="15" hidden="false" customHeight="false" outlineLevel="0" collapsed="false">
      <c r="A19" s="10" t="s">
        <v>161</v>
      </c>
      <c r="B19" s="30" t="s">
        <v>150</v>
      </c>
      <c r="C19" s="18" t="n">
        <f aca="false">IF(C16=0,0,C17/C16)</f>
        <v>0.3574</v>
      </c>
      <c r="D19" s="18" t="n">
        <f aca="false">IF(D16=0,0,D17/D16)</f>
        <v>0.3574</v>
      </c>
      <c r="E19" s="18" t="n">
        <f aca="false">IF(E16=0,0,E17/E16)</f>
        <v>0.3574</v>
      </c>
      <c r="F19" s="18" t="n">
        <f aca="false">IF(F16=0,0,F17/F16)</f>
        <v>0.3574</v>
      </c>
      <c r="G19" s="18" t="n">
        <f aca="false">IF(G16=0,0,G17/G16)</f>
        <v>0.3574</v>
      </c>
      <c r="H19" s="18" t="n">
        <f aca="false">IF(H16=0,0,H17/H16)</f>
        <v>0.3574</v>
      </c>
    </row>
    <row r="20" customFormat="false" ht="15" hidden="false" customHeight="false" outlineLevel="0" collapsed="false">
      <c r="A20" s="10" t="s">
        <v>162</v>
      </c>
      <c r="B20" s="30" t="s">
        <v>156</v>
      </c>
      <c r="C20" s="38" t="n">
        <f aca="false">IF(C8="2026",Assumptions!$B$41/2,Assumptions!$B$41/2*(1+Assumptions!$B$42))</f>
        <v>32.4</v>
      </c>
      <c r="D20" s="38" t="n">
        <f aca="false">IF(D8="2026",Assumptions!$B$41/2,Assumptions!$B$41/2*(1+Assumptions!$B$42))</f>
        <v>32.4</v>
      </c>
      <c r="E20" s="38" t="n">
        <f aca="false">IF(E8="2026",Assumptions!$B$41/2,Assumptions!$B$41/2*(1+Assumptions!$B$42))</f>
        <v>35.64</v>
      </c>
      <c r="F20" s="38" t="n">
        <f aca="false">IF(F8="2026",Assumptions!$B$41/2,Assumptions!$B$41/2*(1+Assumptions!$B$42))</f>
        <v>35.64</v>
      </c>
      <c r="G20" s="38" t="n">
        <f aca="false">IF(G8="2026",Assumptions!$B$41/2,Assumptions!$B$41/2*(1+Assumptions!$B$42))</f>
        <v>35.64</v>
      </c>
      <c r="H20" s="38" t="n">
        <f aca="false">IF(H8="2026",Assumptions!$B$41/2,Assumptions!$B$41/2*(1+Assumptions!$B$42))</f>
        <v>35.64</v>
      </c>
    </row>
    <row r="21" customFormat="false" ht="15" hidden="false" customHeight="false" outlineLevel="0" collapsed="false">
      <c r="A21" s="10" t="s">
        <v>155</v>
      </c>
      <c r="B21" s="30" t="s">
        <v>156</v>
      </c>
      <c r="C21" s="38" t="n">
        <f aca="false">C13</f>
        <v>90</v>
      </c>
      <c r="D21" s="38" t="n">
        <f aca="false">D13</f>
        <v>90</v>
      </c>
      <c r="E21" s="38" t="n">
        <f aca="false">E13</f>
        <v>31.1</v>
      </c>
      <c r="F21" s="38" t="n">
        <f aca="false">F13</f>
        <v>31.1</v>
      </c>
      <c r="G21" s="38" t="n">
        <f aca="false">G13</f>
        <v>0</v>
      </c>
      <c r="H21" s="38" t="n">
        <f aca="false">H13</f>
        <v>0</v>
      </c>
    </row>
    <row r="22" customFormat="false" ht="15" hidden="false" customHeight="false" outlineLevel="0" collapsed="false">
      <c r="A22" s="34" t="s">
        <v>163</v>
      </c>
      <c r="B22" s="30" t="s">
        <v>156</v>
      </c>
      <c r="C22" s="40" t="n">
        <f aca="false">C16+C20+C21</f>
        <v>779.179178082192</v>
      </c>
      <c r="D22" s="40" t="n">
        <f aca="false">D16+D20+D21</f>
        <v>839.490953833092</v>
      </c>
      <c r="E22" s="40" t="n">
        <f aca="false">E16+E20+E21</f>
        <v>826.910881608761</v>
      </c>
      <c r="F22" s="40" t="n">
        <f aca="false">F16+F20+F21</f>
        <v>894.860181913326</v>
      </c>
      <c r="G22" s="40" t="n">
        <f aca="false">G16+G20+G21</f>
        <v>937.702055049356</v>
      </c>
      <c r="H22" s="40" t="n">
        <f aca="false">H16+H20+H21</f>
        <v>1006.44485105726</v>
      </c>
    </row>
    <row r="23" customFormat="false" ht="15" hidden="false" customHeight="false" outlineLevel="0" collapsed="false">
      <c r="A23" s="10" t="s">
        <v>164</v>
      </c>
      <c r="B23" s="30" t="s">
        <v>156</v>
      </c>
      <c r="C23" s="38" t="n">
        <f aca="false">-C18</f>
        <v>-422.046299835617</v>
      </c>
      <c r="D23" s="38" t="n">
        <f aca="false">-D18</f>
        <v>-460.802646933145</v>
      </c>
      <c r="E23" s="38" t="n">
        <f aca="false">-E18</f>
        <v>-488.48580852179</v>
      </c>
      <c r="F23" s="38" t="n">
        <f aca="false">-F18</f>
        <v>-532.150028897503</v>
      </c>
      <c r="G23" s="38" t="n">
        <f aca="false">-G18</f>
        <v>-579.665076574717</v>
      </c>
      <c r="H23" s="38" t="n">
        <f aca="false">-H18</f>
        <v>-623.839197289393</v>
      </c>
    </row>
    <row r="24" customFormat="false" ht="15" hidden="false" customHeight="false" outlineLevel="0" collapsed="false">
      <c r="A24" s="10" t="s">
        <v>165</v>
      </c>
      <c r="B24" s="30" t="s">
        <v>156</v>
      </c>
      <c r="C24" s="38" t="n">
        <f aca="false">-Assumptions!$B$46</f>
        <v>-2</v>
      </c>
      <c r="D24" s="38" t="n">
        <f aca="false">-Assumptions!$B$46</f>
        <v>-2</v>
      </c>
      <c r="E24" s="38" t="n">
        <f aca="false">-Assumptions!$B$46</f>
        <v>-2</v>
      </c>
      <c r="F24" s="38" t="n">
        <f aca="false">-Assumptions!$B$46</f>
        <v>-2</v>
      </c>
      <c r="G24" s="38" t="n">
        <f aca="false">-Assumptions!$B$46</f>
        <v>-2</v>
      </c>
      <c r="H24" s="38" t="n">
        <f aca="false">-Assumptions!$B$46</f>
        <v>-2</v>
      </c>
    </row>
    <row r="25" customFormat="false" ht="15" hidden="false" customHeight="false" outlineLevel="0" collapsed="false">
      <c r="A25" s="34" t="s">
        <v>166</v>
      </c>
      <c r="B25" s="30" t="s">
        <v>156</v>
      </c>
      <c r="C25" s="40" t="n">
        <f aca="false">C22+C23+C24</f>
        <v>355.132878246575</v>
      </c>
      <c r="D25" s="40" t="n">
        <f aca="false">D22+D23+D24</f>
        <v>376.688306899947</v>
      </c>
      <c r="E25" s="40" t="n">
        <f aca="false">E22+E23+E24</f>
        <v>336.425073086971</v>
      </c>
      <c r="F25" s="40" t="n">
        <f aca="false">F22+F23+F24</f>
        <v>360.710153015823</v>
      </c>
      <c r="G25" s="40" t="n">
        <f aca="false">G22+G23+G24</f>
        <v>356.03697847464</v>
      </c>
      <c r="H25" s="40" t="n">
        <f aca="false">H22+H23+H24</f>
        <v>380.605653767863</v>
      </c>
    </row>
    <row r="26" customFormat="false" ht="15" hidden="false" customHeight="false" outlineLevel="0" collapsed="false">
      <c r="A26" s="10" t="s">
        <v>167</v>
      </c>
      <c r="B26" s="30" t="s">
        <v>150</v>
      </c>
      <c r="C26" s="18" t="n">
        <f aca="false">IF(C22=0,0,C25/C22)</f>
        <v>0.455778193560909</v>
      </c>
      <c r="D26" s="18" t="n">
        <f aca="false">IF(D22=0,0,D25/D22)</f>
        <v>0.448710382381131</v>
      </c>
      <c r="E26" s="18" t="n">
        <f aca="false">IF(E22=0,0,E25/E22)</f>
        <v>0.406845623354785</v>
      </c>
      <c r="F26" s="18" t="n">
        <f aca="false">IF(F22=0,0,F25/F22)</f>
        <v>0.40309107535054</v>
      </c>
      <c r="G26" s="18" t="n">
        <f aca="false">IF(G22=0,0,G25/G22)</f>
        <v>0.379690944002357</v>
      </c>
      <c r="H26" s="18" t="n">
        <f aca="false">IF(H22=0,0,H25/H22)</f>
        <v>0.378168414660816</v>
      </c>
    </row>
    <row r="27" customFormat="false" ht="15" hidden="false" customHeight="false" outlineLevel="0" collapsed="false">
      <c r="A27" s="10" t="s">
        <v>168</v>
      </c>
      <c r="B27" s="30" t="s">
        <v>156</v>
      </c>
      <c r="C27" s="38" t="n">
        <f aca="false">IF(C8="2026",(Assumptions!$B$47-Assumptions!$B$48)/2,Assumptions!$B$47/4*(1+Assumptions!$B$49))</f>
        <v>152</v>
      </c>
      <c r="D27" s="38" t="n">
        <f aca="false">IF(D8="2026",(Assumptions!$B$47-Assumptions!$B$48)/2,Assumptions!$B$47/4*(1+Assumptions!$B$49))</f>
        <v>152</v>
      </c>
      <c r="E27" s="38" t="n">
        <f aca="false">IF(E8="2026",(Assumptions!$B$47-Assumptions!$B$48)/2,Assumptions!$B$47/4*(1+Assumptions!$B$49))</f>
        <v>157.95</v>
      </c>
      <c r="F27" s="38" t="n">
        <f aca="false">IF(F8="2026",(Assumptions!$B$47-Assumptions!$B$48)/2,Assumptions!$B$47/4*(1+Assumptions!$B$49))</f>
        <v>157.95</v>
      </c>
      <c r="G27" s="38" t="n">
        <f aca="false">IF(G8="2026",(Assumptions!$B$47-Assumptions!$B$48)/2,Assumptions!$B$47/4*(1+Assumptions!$B$49))</f>
        <v>157.95</v>
      </c>
      <c r="H27" s="38" t="n">
        <f aca="false">IF(H8="2026",(Assumptions!$B$47-Assumptions!$B$48)/2,Assumptions!$B$47/4*(1+Assumptions!$B$49))</f>
        <v>157.95</v>
      </c>
    </row>
    <row r="28" customFormat="false" ht="15" hidden="false" customHeight="false" outlineLevel="0" collapsed="false">
      <c r="A28" s="34" t="s">
        <v>169</v>
      </c>
      <c r="B28" s="30" t="s">
        <v>156</v>
      </c>
      <c r="C28" s="39" t="n">
        <f aca="false">C25-C27</f>
        <v>203.132878246575</v>
      </c>
      <c r="D28" s="39" t="n">
        <f aca="false">D25-D27</f>
        <v>224.688306899947</v>
      </c>
      <c r="E28" s="39" t="n">
        <f aca="false">E25-E27</f>
        <v>178.475073086971</v>
      </c>
      <c r="F28" s="39" t="n">
        <f aca="false">F25-F27</f>
        <v>202.760153015823</v>
      </c>
      <c r="G28" s="39" t="n">
        <f aca="false">G25-G27</f>
        <v>198.08697847464</v>
      </c>
      <c r="H28" s="39" t="n">
        <f aca="false">H25-H27</f>
        <v>222.655653767863</v>
      </c>
    </row>
    <row r="29" customFormat="false" ht="15" hidden="false" customHeight="false" outlineLevel="0" collapsed="false">
      <c r="A29" s="10" t="s">
        <v>170</v>
      </c>
      <c r="B29" s="30" t="s">
        <v>156</v>
      </c>
      <c r="C29" s="38" t="n">
        <f aca="false">Assumptions!$B$50*(1+Assumptions!$B$51)^C6</f>
        <v>54.27</v>
      </c>
      <c r="D29" s="38" t="n">
        <f aca="false">Assumptions!$B$50*(1+Assumptions!$B$51)^D6</f>
        <v>54.948375</v>
      </c>
      <c r="E29" s="38" t="n">
        <f aca="false">Assumptions!$B$50*(1+Assumptions!$B$51)^E6</f>
        <v>55.6352296875</v>
      </c>
      <c r="F29" s="38" t="n">
        <f aca="false">Assumptions!$B$50*(1+Assumptions!$B$51)^F6</f>
        <v>56.3306700585937</v>
      </c>
      <c r="G29" s="38" t="n">
        <f aca="false">Assumptions!$B$50*(1+Assumptions!$B$51)^G6</f>
        <v>57.0348034343262</v>
      </c>
      <c r="H29" s="38" t="n">
        <f aca="false">Assumptions!$B$50*(1+Assumptions!$B$51)^H6</f>
        <v>57.7477384772552</v>
      </c>
    </row>
    <row r="30" customFormat="false" ht="15" hidden="false" customHeight="false" outlineLevel="0" collapsed="false">
      <c r="A30" s="10" t="s">
        <v>86</v>
      </c>
      <c r="B30" s="30" t="s">
        <v>156</v>
      </c>
      <c r="C30" s="37" t="n">
        <f aca="false">Assumptions!$B$52</f>
        <v>29.9</v>
      </c>
      <c r="D30" s="37" t="n">
        <f aca="false">Assumptions!$B$52</f>
        <v>29.9</v>
      </c>
      <c r="E30" s="37" t="n">
        <f aca="false">Assumptions!$B$52</f>
        <v>29.9</v>
      </c>
      <c r="F30" s="37" t="n">
        <f aca="false">Assumptions!$B$52</f>
        <v>29.9</v>
      </c>
      <c r="G30" s="37" t="n">
        <f aca="false">Assumptions!$B$52</f>
        <v>29.9</v>
      </c>
      <c r="H30" s="37" t="n">
        <f aca="false">Assumptions!$B$52</f>
        <v>29.9</v>
      </c>
    </row>
    <row r="31" customFormat="false" ht="15" hidden="false" customHeight="false" outlineLevel="0" collapsed="false">
      <c r="A31" s="10" t="s">
        <v>87</v>
      </c>
      <c r="B31" s="30" t="s">
        <v>156</v>
      </c>
      <c r="C31" s="37" t="n">
        <f aca="false">Assumptions!$B$53</f>
        <v>25</v>
      </c>
      <c r="D31" s="37" t="n">
        <f aca="false">Assumptions!$B$53</f>
        <v>25</v>
      </c>
      <c r="E31" s="37" t="n">
        <f aca="false">Assumptions!$B$53</f>
        <v>25</v>
      </c>
      <c r="F31" s="37" t="n">
        <f aca="false">Assumptions!$B$53</f>
        <v>25</v>
      </c>
      <c r="G31" s="37" t="n">
        <f aca="false">Assumptions!$B$53</f>
        <v>25</v>
      </c>
      <c r="H31" s="37" t="n">
        <f aca="false">Assumptions!$B$53</f>
        <v>25</v>
      </c>
    </row>
    <row r="32" customFormat="false" ht="15" hidden="false" customHeight="false" outlineLevel="0" collapsed="false">
      <c r="A32" s="34" t="s">
        <v>171</v>
      </c>
      <c r="B32" s="30" t="s">
        <v>156</v>
      </c>
      <c r="C32" s="40" t="n">
        <f aca="false">C28-C29-C30-C31</f>
        <v>93.9628782465753</v>
      </c>
      <c r="D32" s="40" t="n">
        <f aca="false">D28-D29-D30-D31</f>
        <v>114.839931899947</v>
      </c>
      <c r="E32" s="40" t="n">
        <f aca="false">E28-E29-E30-E31</f>
        <v>67.9398433994709</v>
      </c>
      <c r="F32" s="40" t="n">
        <f aca="false">F28-F29-F30-F31</f>
        <v>91.5294829572288</v>
      </c>
      <c r="G32" s="40" t="n">
        <f aca="false">G28-G29-G30-G31</f>
        <v>86.1521750403137</v>
      </c>
      <c r="H32" s="40" t="n">
        <f aca="false">H28-H29-H30-H31</f>
        <v>110.007915290608</v>
      </c>
    </row>
    <row r="33" customFormat="false" ht="15" hidden="false" customHeight="false" outlineLevel="0" collapsed="false">
      <c r="A33" s="10" t="s">
        <v>172</v>
      </c>
      <c r="B33" s="30" t="s">
        <v>156</v>
      </c>
      <c r="C33" s="37" t="n">
        <f aca="false">Assumptions!$B$73</f>
        <v>1730.126</v>
      </c>
      <c r="D33" s="38" t="n">
        <f aca="false">C59</f>
        <v>1872.31015551776</v>
      </c>
      <c r="E33" s="38" t="n">
        <f aca="false">D59</f>
        <v>1917.63810302476</v>
      </c>
      <c r="F33" s="38" t="n">
        <f aca="false">E59</f>
        <v>1969.36848718877</v>
      </c>
      <c r="G33" s="38" t="n">
        <f aca="false">F59</f>
        <v>2042.47070558721</v>
      </c>
      <c r="H33" s="38" t="n">
        <f aca="false">G59</f>
        <v>2144.34764215833</v>
      </c>
    </row>
    <row r="34" customFormat="false" ht="15" hidden="false" customHeight="false" outlineLevel="0" collapsed="false">
      <c r="A34" s="10" t="s">
        <v>173</v>
      </c>
      <c r="B34" s="30" t="s">
        <v>156</v>
      </c>
      <c r="C34" s="38" t="n">
        <f aca="false">C33*(C9+Assumptions!$B$18)*C7/365</f>
        <v>16.4840717194521</v>
      </c>
      <c r="D34" s="38" t="n">
        <f aca="false">D33*(D9+Assumptions!$B$18)*D7/365</f>
        <v>19.4904922380967</v>
      </c>
      <c r="E34" s="38" t="n">
        <f aca="false">E33*(E9+Assumptions!$B$18)*E7/365</f>
        <v>21.5616076022291</v>
      </c>
      <c r="F34" s="38" t="n">
        <f aca="false">F33*(F9+Assumptions!$B$18)*F7/365</f>
        <v>22.8802849500622</v>
      </c>
      <c r="G34" s="38" t="n">
        <f aca="false">G33*(G9+Assumptions!$B$18)*G7/365</f>
        <v>24.6081347257269</v>
      </c>
      <c r="H34" s="38" t="n">
        <f aca="false">H33*(H9+Assumptions!$B$18)*H7/365</f>
        <v>26.4841621119171</v>
      </c>
    </row>
    <row r="35" customFormat="false" ht="15" hidden="false" customHeight="false" outlineLevel="0" collapsed="false">
      <c r="A35" s="10" t="s">
        <v>174</v>
      </c>
      <c r="B35" s="30" t="s">
        <v>156</v>
      </c>
      <c r="C35" s="41" t="n">
        <f aca="false">C32+C34</f>
        <v>110.446949966027</v>
      </c>
      <c r="D35" s="41" t="n">
        <f aca="false">D32+D34</f>
        <v>134.330424138044</v>
      </c>
      <c r="E35" s="41" t="n">
        <f aca="false">E32+E34</f>
        <v>89.5014510017001</v>
      </c>
      <c r="F35" s="41" t="n">
        <f aca="false">F32+F34</f>
        <v>114.409767907291</v>
      </c>
      <c r="G35" s="41" t="n">
        <f aca="false">G32+G34</f>
        <v>110.760309766041</v>
      </c>
      <c r="H35" s="41" t="n">
        <f aca="false">H32+H34</f>
        <v>136.492077402525</v>
      </c>
    </row>
    <row r="36" customFormat="false" ht="15" hidden="false" customHeight="false" outlineLevel="0" collapsed="false">
      <c r="A36" s="10" t="s">
        <v>175</v>
      </c>
      <c r="B36" s="30" t="s">
        <v>150</v>
      </c>
      <c r="C36" s="18" t="n">
        <f aca="false">IF(C8="2026",Assumptions!$B$54,Assumptions!$B$55)</f>
        <v>0.051</v>
      </c>
      <c r="D36" s="18" t="n">
        <f aca="false">IF(D8="2026",Assumptions!$B$54,Assumptions!$B$55)</f>
        <v>0.051</v>
      </c>
      <c r="E36" s="18" t="n">
        <f aca="false">IF(E8="2026",Assumptions!$B$54,Assumptions!$B$55)</f>
        <v>0.1699</v>
      </c>
      <c r="F36" s="18" t="n">
        <f aca="false">IF(F8="2026",Assumptions!$B$54,Assumptions!$B$55)</f>
        <v>0.1699</v>
      </c>
      <c r="G36" s="18" t="n">
        <f aca="false">IF(G8="2026",Assumptions!$B$54,Assumptions!$B$55)</f>
        <v>0.1699</v>
      </c>
      <c r="H36" s="18" t="n">
        <f aca="false">IF(H8="2026",Assumptions!$B$54,Assumptions!$B$55)</f>
        <v>0.1699</v>
      </c>
    </row>
    <row r="37" customFormat="false" ht="15" hidden="false" customHeight="false" outlineLevel="0" collapsed="false">
      <c r="A37" s="10" t="s">
        <v>176</v>
      </c>
      <c r="B37" s="30" t="s">
        <v>156</v>
      </c>
      <c r="C37" s="38" t="n">
        <f aca="false">C35*C36</f>
        <v>5.6327944482674</v>
      </c>
      <c r="D37" s="38" t="n">
        <f aca="false">D35*D36</f>
        <v>6.85085163104022</v>
      </c>
      <c r="E37" s="38" t="n">
        <f aca="false">E35*E36</f>
        <v>15.2062965251888</v>
      </c>
      <c r="F37" s="38" t="n">
        <f aca="false">F35*F36</f>
        <v>19.4382195674488</v>
      </c>
      <c r="G37" s="38" t="n">
        <f aca="false">G35*G36</f>
        <v>18.8181766292503</v>
      </c>
      <c r="H37" s="38" t="n">
        <f aca="false">H35*H36</f>
        <v>23.190003950689</v>
      </c>
    </row>
    <row r="38" customFormat="false" ht="15" hidden="false" customHeight="false" outlineLevel="0" collapsed="false">
      <c r="A38" s="34" t="s">
        <v>177</v>
      </c>
      <c r="B38" s="30" t="s">
        <v>156</v>
      </c>
      <c r="C38" s="40" t="n">
        <f aca="false">C35-C37</f>
        <v>104.81415551776</v>
      </c>
      <c r="D38" s="40" t="n">
        <f aca="false">D35-D37</f>
        <v>127.479572507003</v>
      </c>
      <c r="E38" s="40" t="n">
        <f aca="false">E35-E37</f>
        <v>74.2951544765112</v>
      </c>
      <c r="F38" s="40" t="n">
        <f aca="false">F35-F37</f>
        <v>94.9715483398423</v>
      </c>
      <c r="G38" s="40" t="n">
        <f aca="false">G35-G37</f>
        <v>91.9421331367903</v>
      </c>
      <c r="H38" s="40" t="n">
        <f aca="false">H35-H37</f>
        <v>113.302073451836</v>
      </c>
    </row>
    <row r="39" customFormat="false" ht="15" hidden="false" customHeight="false" outlineLevel="0" collapsed="false">
      <c r="A39" s="10" t="s">
        <v>178</v>
      </c>
      <c r="B39" s="30" t="s">
        <v>150</v>
      </c>
      <c r="C39" s="14" t="n">
        <v>0</v>
      </c>
      <c r="D39" s="31" t="n">
        <f aca="false">Assumptions!$B$61</f>
        <v>0.005</v>
      </c>
      <c r="E39" s="31" t="n">
        <f aca="false">Assumptions!$B$61</f>
        <v>0.005</v>
      </c>
      <c r="F39" s="31" t="n">
        <f aca="false">Assumptions!$B$61</f>
        <v>0.005</v>
      </c>
      <c r="G39" s="31" t="n">
        <f aca="false">Assumptions!$B$61</f>
        <v>0.005</v>
      </c>
      <c r="H39" s="31" t="n">
        <f aca="false">Assumptions!$B$61</f>
        <v>0.005</v>
      </c>
    </row>
    <row r="40" customFormat="false" ht="15" hidden="false" customHeight="false" outlineLevel="0" collapsed="false">
      <c r="A40" s="10" t="s">
        <v>179</v>
      </c>
      <c r="B40" s="30" t="s">
        <v>180</v>
      </c>
      <c r="C40" s="25" t="n">
        <f aca="false">Assumptions!$B$62*14/92</f>
        <v>0.188240804347826</v>
      </c>
      <c r="D40" s="25" t="n">
        <f aca="false">Assumptions!$B$62*78/92</f>
        <v>1.04877019565217</v>
      </c>
      <c r="E40" s="23" t="n">
        <v>0</v>
      </c>
      <c r="F40" s="23" t="n">
        <v>0</v>
      </c>
      <c r="G40" s="23" t="n">
        <v>0</v>
      </c>
      <c r="H40" s="23" t="n">
        <v>0</v>
      </c>
    </row>
    <row r="41" customFormat="false" ht="15" hidden="false" customHeight="false" outlineLevel="0" collapsed="false">
      <c r="A41" s="10" t="s">
        <v>181</v>
      </c>
      <c r="B41" s="30" t="s">
        <v>180</v>
      </c>
      <c r="C41" s="23" t="n">
        <v>0</v>
      </c>
      <c r="D41" s="23" t="n">
        <v>0</v>
      </c>
      <c r="E41" s="23" t="n">
        <v>0</v>
      </c>
      <c r="F41" s="25" t="n">
        <f aca="false">Assumptions!$B$66*0.5</f>
        <v>2.50501002004008</v>
      </c>
      <c r="G41" s="25" t="n">
        <f aca="false">Assumptions!$B$66*0.5</f>
        <v>2.50501002004008</v>
      </c>
      <c r="H41" s="23" t="n">
        <v>0</v>
      </c>
    </row>
    <row r="42" customFormat="false" ht="15" hidden="false" customHeight="false" outlineLevel="0" collapsed="false">
      <c r="A42" s="10" t="s">
        <v>182</v>
      </c>
      <c r="B42" s="30" t="s">
        <v>180</v>
      </c>
      <c r="C42" s="42" t="n">
        <f aca="false">Assumptions!$B$60*(1+C39)+C40+C41</f>
        <v>268.825240804348</v>
      </c>
      <c r="D42" s="42" t="n">
        <f aca="false">C42*(1+D39)+D40+D41</f>
        <v>271.218137204022</v>
      </c>
      <c r="E42" s="42" t="n">
        <f aca="false">D42*(1+E39)+E40+E41</f>
        <v>272.574227890042</v>
      </c>
      <c r="F42" s="42" t="n">
        <f aca="false">E42*(1+F39)+F40+F41</f>
        <v>276.442109049532</v>
      </c>
      <c r="G42" s="42" t="n">
        <f aca="false">F42*(1+G39)+G40+G41</f>
        <v>280.32932961482</v>
      </c>
      <c r="H42" s="42" t="n">
        <f aca="false">G42*(1+H39)+H40+H41</f>
        <v>281.730976262894</v>
      </c>
    </row>
    <row r="43" customFormat="false" ht="15" hidden="false" customHeight="false" outlineLevel="0" collapsed="false">
      <c r="A43" s="34" t="s">
        <v>183</v>
      </c>
      <c r="B43" s="30" t="s">
        <v>184</v>
      </c>
      <c r="C43" s="43" t="n">
        <f aca="false">C38/C42</f>
        <v>0.389897002246319</v>
      </c>
      <c r="D43" s="43" t="n">
        <f aca="false">D38/D42</f>
        <v>0.470025986540524</v>
      </c>
      <c r="E43" s="43" t="n">
        <f aca="false">E38/E42</f>
        <v>0.272568522165941</v>
      </c>
      <c r="F43" s="43" t="n">
        <f aca="false">F38/F42</f>
        <v>0.343549499988895</v>
      </c>
      <c r="G43" s="43" t="n">
        <f aca="false">G38/G42</f>
        <v>0.327978999782582</v>
      </c>
      <c r="H43" s="43" t="n">
        <f aca="false">H38/H42</f>
        <v>0.402164060746056</v>
      </c>
    </row>
    <row r="44" customFormat="false" ht="15" hidden="false" customHeight="false" outlineLevel="0" collapsed="false">
      <c r="A44" s="10" t="s">
        <v>185</v>
      </c>
      <c r="B44" s="30" t="s">
        <v>184</v>
      </c>
      <c r="C44" s="44" t="n">
        <f aca="false">(C38-C21*(1-C36))/C42</f>
        <v>0.0721813006089054</v>
      </c>
      <c r="D44" s="44" t="n">
        <f aca="false">(D38-D21*(1-D36))/D42</f>
        <v>0.155113418817403</v>
      </c>
      <c r="E44" s="44" t="n">
        <f aca="false">(E38-E21*(1-E36))/E42</f>
        <v>0.177856303040022</v>
      </c>
      <c r="F44" s="44" t="n">
        <f aca="false">(F38-F21*(1-F36))/F42</f>
        <v>0.25016246105781</v>
      </c>
      <c r="G44" s="44" t="n">
        <f aca="false">(G38-G21*(1-G36))/G42</f>
        <v>0.327978999782582</v>
      </c>
      <c r="H44" s="44" t="n">
        <f aca="false">(H38-H21*(1-H36))/H42</f>
        <v>0.402164060746056</v>
      </c>
    </row>
    <row r="46" customFormat="false" ht="15" hidden="false" customHeight="false" outlineLevel="0" collapsed="false">
      <c r="A46" s="8" t="s">
        <v>186</v>
      </c>
      <c r="B46" s="9"/>
      <c r="C46" s="9"/>
      <c r="D46" s="9"/>
      <c r="E46" s="9"/>
      <c r="F46" s="9"/>
      <c r="G46" s="9"/>
      <c r="H46" s="9"/>
    </row>
    <row r="47" customFormat="false" ht="15" hidden="false" customHeight="false" outlineLevel="0" collapsed="false">
      <c r="A47" s="10" t="s">
        <v>177</v>
      </c>
      <c r="B47" s="30" t="s">
        <v>156</v>
      </c>
      <c r="C47" s="38" t="n">
        <f aca="false">C38</f>
        <v>104.81415551776</v>
      </c>
      <c r="D47" s="38" t="n">
        <f aca="false">D38</f>
        <v>127.479572507003</v>
      </c>
      <c r="E47" s="38" t="n">
        <f aca="false">E38</f>
        <v>74.2951544765112</v>
      </c>
      <c r="F47" s="38" t="n">
        <f aca="false">F38</f>
        <v>94.9715483398423</v>
      </c>
      <c r="G47" s="38" t="n">
        <f aca="false">G38</f>
        <v>91.9421331367903</v>
      </c>
      <c r="H47" s="38" t="n">
        <f aca="false">H38</f>
        <v>113.302073451836</v>
      </c>
    </row>
    <row r="48" customFormat="false" ht="15" hidden="false" customHeight="false" outlineLevel="0" collapsed="false">
      <c r="A48" s="10" t="s">
        <v>187</v>
      </c>
      <c r="B48" s="30" t="s">
        <v>156</v>
      </c>
      <c r="C48" s="38" t="n">
        <f aca="false">C29</f>
        <v>54.27</v>
      </c>
      <c r="D48" s="38" t="n">
        <f aca="false">D29</f>
        <v>54.948375</v>
      </c>
      <c r="E48" s="38" t="n">
        <f aca="false">E29</f>
        <v>55.6352296875</v>
      </c>
      <c r="F48" s="38" t="n">
        <f aca="false">F29</f>
        <v>56.3306700585937</v>
      </c>
      <c r="G48" s="38" t="n">
        <f aca="false">G29</f>
        <v>57.0348034343262</v>
      </c>
      <c r="H48" s="38" t="n">
        <f aca="false">H29</f>
        <v>57.7477384772552</v>
      </c>
    </row>
    <row r="49" customFormat="false" ht="15" hidden="false" customHeight="false" outlineLevel="0" collapsed="false">
      <c r="A49" s="10" t="s">
        <v>188</v>
      </c>
      <c r="B49" s="30" t="s">
        <v>156</v>
      </c>
      <c r="C49" s="38" t="n">
        <f aca="false">C30</f>
        <v>29.9</v>
      </c>
      <c r="D49" s="38" t="n">
        <f aca="false">D30</f>
        <v>29.9</v>
      </c>
      <c r="E49" s="38" t="n">
        <f aca="false">E30</f>
        <v>29.9</v>
      </c>
      <c r="F49" s="38" t="n">
        <f aca="false">F30</f>
        <v>29.9</v>
      </c>
      <c r="G49" s="38" t="n">
        <f aca="false">G30</f>
        <v>29.9</v>
      </c>
      <c r="H49" s="38" t="n">
        <f aca="false">H30</f>
        <v>29.9</v>
      </c>
    </row>
    <row r="50" customFormat="false" ht="15" hidden="false" customHeight="false" outlineLevel="0" collapsed="false">
      <c r="A50" s="10" t="s">
        <v>189</v>
      </c>
      <c r="B50" s="30" t="s">
        <v>156</v>
      </c>
      <c r="C50" s="38" t="n">
        <f aca="false">-C21</f>
        <v>-90</v>
      </c>
      <c r="D50" s="38" t="n">
        <f aca="false">-D21</f>
        <v>-90</v>
      </c>
      <c r="E50" s="38" t="n">
        <f aca="false">-E21</f>
        <v>-31.1</v>
      </c>
      <c r="F50" s="38" t="n">
        <f aca="false">-F21</f>
        <v>-31.1</v>
      </c>
      <c r="G50" s="38" t="n">
        <f aca="false">-G21</f>
        <v>-0</v>
      </c>
      <c r="H50" s="38" t="n">
        <f aca="false">-H21</f>
        <v>-0</v>
      </c>
    </row>
    <row r="51" customFormat="false" ht="15" hidden="false" customHeight="false" outlineLevel="0" collapsed="false">
      <c r="A51" s="10" t="s">
        <v>190</v>
      </c>
      <c r="B51" s="30" t="s">
        <v>156</v>
      </c>
      <c r="C51" s="37" t="n">
        <f aca="false">Assumptions!$B$70</f>
        <v>20.2</v>
      </c>
      <c r="D51" s="20" t="n">
        <v>0</v>
      </c>
      <c r="E51" s="20" t="n">
        <v>0</v>
      </c>
      <c r="F51" s="20" t="n">
        <v>0</v>
      </c>
      <c r="G51" s="20" t="n">
        <v>0</v>
      </c>
      <c r="H51" s="20" t="n">
        <v>0</v>
      </c>
    </row>
    <row r="52" customFormat="false" ht="15" hidden="false" customHeight="false" outlineLevel="0" collapsed="false">
      <c r="A52" s="34" t="s">
        <v>191</v>
      </c>
      <c r="B52" s="30" t="s">
        <v>156</v>
      </c>
      <c r="C52" s="40" t="n">
        <f aca="false">SUM(C47:C51)</f>
        <v>119.18415551776</v>
      </c>
      <c r="D52" s="40" t="n">
        <f aca="false">SUM(D47:D51)</f>
        <v>122.327947507003</v>
      </c>
      <c r="E52" s="40" t="n">
        <f aca="false">SUM(E47:E51)</f>
        <v>128.730384164011</v>
      </c>
      <c r="F52" s="40" t="n">
        <f aca="false">SUM(F47:F51)</f>
        <v>150.102218398436</v>
      </c>
      <c r="G52" s="40" t="n">
        <f aca="false">SUM(G47:G51)</f>
        <v>178.876936571117</v>
      </c>
      <c r="H52" s="40" t="n">
        <f aca="false">SUM(H47:H51)</f>
        <v>200.949811929091</v>
      </c>
    </row>
    <row r="53" customFormat="false" ht="15" hidden="false" customHeight="false" outlineLevel="0" collapsed="false">
      <c r="A53" s="10" t="s">
        <v>112</v>
      </c>
      <c r="B53" s="30" t="s">
        <v>156</v>
      </c>
      <c r="C53" s="38" t="n">
        <f aca="false">-Assumptions!$B$67</f>
        <v>-23.1</v>
      </c>
      <c r="D53" s="38" t="n">
        <f aca="false">-Assumptions!$B$67</f>
        <v>-23.1</v>
      </c>
      <c r="E53" s="38" t="n">
        <f aca="false">-Assumptions!$B$67</f>
        <v>-23.1</v>
      </c>
      <c r="F53" s="38" t="n">
        <f aca="false">-Assumptions!$B$67</f>
        <v>-23.1</v>
      </c>
      <c r="G53" s="38" t="n">
        <f aca="false">-Assumptions!$B$67</f>
        <v>-23.1</v>
      </c>
      <c r="H53" s="38" t="n">
        <f aca="false">-Assumptions!$B$67</f>
        <v>-23.1</v>
      </c>
    </row>
    <row r="54" customFormat="false" ht="15" hidden="false" customHeight="false" outlineLevel="0" collapsed="false">
      <c r="A54" s="34" t="s">
        <v>192</v>
      </c>
      <c r="B54" s="30" t="s">
        <v>156</v>
      </c>
      <c r="C54" s="39" t="n">
        <f aca="false">C52+C53</f>
        <v>96.08415551776</v>
      </c>
      <c r="D54" s="39" t="n">
        <f aca="false">D52+D53</f>
        <v>99.2279475070034</v>
      </c>
      <c r="E54" s="39" t="n">
        <f aca="false">E52+E53</f>
        <v>105.630384164011</v>
      </c>
      <c r="F54" s="39" t="n">
        <f aca="false">F52+F53</f>
        <v>127.002218398436</v>
      </c>
      <c r="G54" s="39" t="n">
        <f aca="false">G52+G53</f>
        <v>155.776936571117</v>
      </c>
      <c r="H54" s="39" t="n">
        <f aca="false">H52+H53</f>
        <v>177.849811929091</v>
      </c>
    </row>
    <row r="55" customFormat="false" ht="15" hidden="false" customHeight="false" outlineLevel="0" collapsed="false">
      <c r="A55" s="10" t="s">
        <v>193</v>
      </c>
      <c r="B55" s="30" t="s">
        <v>156</v>
      </c>
      <c r="C55" s="37" t="n">
        <f aca="false">Assumptions!$B$63</f>
        <v>100</v>
      </c>
      <c r="D55" s="20" t="n">
        <v>0</v>
      </c>
      <c r="E55" s="20" t="n">
        <v>0</v>
      </c>
      <c r="F55" s="20" t="n">
        <v>0</v>
      </c>
      <c r="G55" s="20" t="n">
        <v>0</v>
      </c>
      <c r="H55" s="20" t="n">
        <v>0</v>
      </c>
    </row>
    <row r="56" customFormat="false" ht="15" hidden="false" customHeight="false" outlineLevel="0" collapsed="false">
      <c r="A56" s="10" t="s">
        <v>116</v>
      </c>
      <c r="B56" s="30" t="s">
        <v>156</v>
      </c>
      <c r="C56" s="37" t="n">
        <f aca="false">Assumptions!$B$69</f>
        <v>20.8</v>
      </c>
      <c r="D56" s="37" t="n">
        <f aca="false">Assumptions!$B$69</f>
        <v>20.8</v>
      </c>
      <c r="E56" s="37" t="n">
        <f aca="false">Assumptions!$B$69</f>
        <v>20.8</v>
      </c>
      <c r="F56" s="37" t="n">
        <f aca="false">Assumptions!$B$69</f>
        <v>20.8</v>
      </c>
      <c r="G56" s="37" t="n">
        <f aca="false">Assumptions!$B$69</f>
        <v>20.8</v>
      </c>
      <c r="H56" s="37" t="n">
        <f aca="false">Assumptions!$B$69</f>
        <v>20.8</v>
      </c>
    </row>
    <row r="57" customFormat="false" ht="15" hidden="false" customHeight="false" outlineLevel="0" collapsed="false">
      <c r="A57" s="10" t="s">
        <v>114</v>
      </c>
      <c r="B57" s="30" t="s">
        <v>156</v>
      </c>
      <c r="C57" s="38" t="n">
        <f aca="false">-Assumptions!$B$68</f>
        <v>-74.7</v>
      </c>
      <c r="D57" s="38" t="n">
        <f aca="false">-Assumptions!$B$68</f>
        <v>-74.7</v>
      </c>
      <c r="E57" s="38" t="n">
        <f aca="false">-Assumptions!$B$68</f>
        <v>-74.7</v>
      </c>
      <c r="F57" s="38" t="n">
        <f aca="false">-Assumptions!$B$68</f>
        <v>-74.7</v>
      </c>
      <c r="G57" s="38" t="n">
        <f aca="false">-Assumptions!$B$68</f>
        <v>-74.7</v>
      </c>
      <c r="H57" s="38" t="n">
        <f aca="false">-Assumptions!$B$68</f>
        <v>-74.7</v>
      </c>
    </row>
    <row r="58" customFormat="false" ht="15" hidden="false" customHeight="false" outlineLevel="0" collapsed="false">
      <c r="A58" s="10" t="s">
        <v>194</v>
      </c>
      <c r="B58" s="30" t="s">
        <v>156</v>
      </c>
      <c r="C58" s="41" t="n">
        <f aca="false">SUM(C55:C57)</f>
        <v>46.1</v>
      </c>
      <c r="D58" s="41" t="n">
        <f aca="false">SUM(D55:D57)</f>
        <v>-53.9</v>
      </c>
      <c r="E58" s="41" t="n">
        <f aca="false">SUM(E55:E57)</f>
        <v>-53.9</v>
      </c>
      <c r="F58" s="41" t="n">
        <f aca="false">SUM(F55:F57)</f>
        <v>-53.9</v>
      </c>
      <c r="G58" s="41" t="n">
        <f aca="false">SUM(G55:G57)</f>
        <v>-53.9</v>
      </c>
      <c r="H58" s="41" t="n">
        <f aca="false">SUM(H55:H57)</f>
        <v>-53.9</v>
      </c>
    </row>
    <row r="59" customFormat="false" ht="15" hidden="false" customHeight="false" outlineLevel="0" collapsed="false">
      <c r="A59" s="34" t="s">
        <v>195</v>
      </c>
      <c r="B59" s="30" t="s">
        <v>156</v>
      </c>
      <c r="C59" s="39" t="n">
        <f aca="false">C33+C54+C58</f>
        <v>1872.31015551776</v>
      </c>
      <c r="D59" s="39" t="n">
        <f aca="false">D33+D54+D58</f>
        <v>1917.63810302476</v>
      </c>
      <c r="E59" s="39" t="n">
        <f aca="false">E33+E54+E58</f>
        <v>1969.36848718877</v>
      </c>
      <c r="F59" s="39" t="n">
        <f aca="false">F33+F54+F58</f>
        <v>2042.47070558721</v>
      </c>
      <c r="G59" s="39" t="n">
        <f aca="false">G33+G54+G58</f>
        <v>2144.34764215833</v>
      </c>
      <c r="H59" s="39" t="n">
        <f aca="false">H33+H54+H58</f>
        <v>2268.29745408742</v>
      </c>
    </row>
    <row r="61" customFormat="false" ht="15" hidden="false" customHeight="false" outlineLevel="0" collapsed="false">
      <c r="A61" s="8" t="s">
        <v>196</v>
      </c>
      <c r="B61" s="9"/>
      <c r="C61" s="9"/>
      <c r="D61" s="9"/>
      <c r="E61" s="9"/>
      <c r="F61" s="9"/>
      <c r="G61" s="9"/>
      <c r="H61" s="9"/>
    </row>
    <row r="62" customFormat="false" ht="15" hidden="false" customHeight="false" outlineLevel="0" collapsed="false">
      <c r="A62" s="10" t="s">
        <v>121</v>
      </c>
      <c r="B62" s="30" t="s">
        <v>156</v>
      </c>
      <c r="C62" s="38" t="n">
        <f aca="false">C59</f>
        <v>1872.31015551776</v>
      </c>
      <c r="D62" s="38" t="n">
        <f aca="false">D59</f>
        <v>1917.63810302476</v>
      </c>
      <c r="E62" s="38" t="n">
        <f aca="false">E59</f>
        <v>1969.36848718877</v>
      </c>
      <c r="F62" s="38" t="n">
        <f aca="false">F59</f>
        <v>2042.47070558721</v>
      </c>
      <c r="G62" s="38" t="n">
        <f aca="false">G59</f>
        <v>2144.34764215833</v>
      </c>
      <c r="H62" s="38" t="n">
        <f aca="false">H59</f>
        <v>2268.29745408742</v>
      </c>
    </row>
    <row r="63" customFormat="false" ht="15" hidden="false" customHeight="false" outlineLevel="0" collapsed="false">
      <c r="A63" s="10" t="s">
        <v>122</v>
      </c>
      <c r="B63" s="30" t="s">
        <v>156</v>
      </c>
      <c r="C63" s="37" t="n">
        <f aca="false">Assumptions!$B$74</f>
        <v>889.311</v>
      </c>
      <c r="D63" s="37" t="n">
        <f aca="false">Assumptions!$B$74</f>
        <v>889.311</v>
      </c>
      <c r="E63" s="37" t="n">
        <f aca="false">Assumptions!$B$74</f>
        <v>889.311</v>
      </c>
      <c r="F63" s="37" t="n">
        <f aca="false">Assumptions!$B$74</f>
        <v>889.311</v>
      </c>
      <c r="G63" s="37" t="n">
        <f aca="false">Assumptions!$B$74</f>
        <v>889.311</v>
      </c>
      <c r="H63" s="37" t="n">
        <f aca="false">Assumptions!$B$74</f>
        <v>889.311</v>
      </c>
    </row>
    <row r="64" customFormat="false" ht="15" hidden="false" customHeight="false" outlineLevel="0" collapsed="false">
      <c r="A64" s="10" t="s">
        <v>197</v>
      </c>
      <c r="B64" s="30" t="s">
        <v>156</v>
      </c>
      <c r="C64" s="38" t="n">
        <f aca="false">C12*1000+Assumptions!$B$75</f>
        <v>74676.1615547906</v>
      </c>
      <c r="D64" s="38" t="n">
        <f aca="false">D12*1000+Assumptions!$B$75</f>
        <v>71810.0732921163</v>
      </c>
      <c r="E64" s="38" t="n">
        <f aca="false">E12*1000+Assumptions!$B$75</f>
        <v>73933.3244924971</v>
      </c>
      <c r="F64" s="38" t="n">
        <f aca="false">F12*1000+Assumptions!$B$75</f>
        <v>77846.3876127419</v>
      </c>
      <c r="G64" s="38" t="n">
        <f aca="false">G12*1000+Assumptions!$B$75</f>
        <v>81651.9347206969</v>
      </c>
      <c r="H64" s="38" t="n">
        <f aca="false">H12*1000+Assumptions!$B$75</f>
        <v>85604.9693620273</v>
      </c>
    </row>
    <row r="65" customFormat="false" ht="15" hidden="false" customHeight="false" outlineLevel="0" collapsed="false">
      <c r="A65" s="10" t="s">
        <v>125</v>
      </c>
      <c r="B65" s="30" t="s">
        <v>156</v>
      </c>
      <c r="C65" s="38" t="n">
        <f aca="false">Assumptions!$B$76+Assumptions!$B$67-C30</f>
        <v>727.696</v>
      </c>
      <c r="D65" s="38" t="n">
        <f aca="false">C65+Assumptions!$B$67-D30</f>
        <v>720.896</v>
      </c>
      <c r="E65" s="38" t="n">
        <f aca="false">D65+Assumptions!$B$67-E30</f>
        <v>714.096</v>
      </c>
      <c r="F65" s="38" t="n">
        <f aca="false">E65+Assumptions!$B$67-F30+Assumptions!$B$64</f>
        <v>1107.296</v>
      </c>
      <c r="G65" s="38" t="n">
        <f aca="false">F65+Assumptions!$B$67-G30</f>
        <v>1100.496</v>
      </c>
      <c r="H65" s="38" t="n">
        <f aca="false">G65+Assumptions!$B$67-H30</f>
        <v>1093.696</v>
      </c>
    </row>
    <row r="66" customFormat="false" ht="15" hidden="false" customHeight="false" outlineLevel="0" collapsed="false">
      <c r="A66" s="10" t="s">
        <v>127</v>
      </c>
      <c r="B66" s="30" t="s">
        <v>156</v>
      </c>
      <c r="C66" s="38" t="n">
        <f aca="false">Assumptions!$B$77-C51</f>
        <v>630.154999999996</v>
      </c>
      <c r="D66" s="38" t="n">
        <f aca="false">C66-D51</f>
        <v>630.154999999996</v>
      </c>
      <c r="E66" s="38" t="n">
        <f aca="false">D66-E51</f>
        <v>630.154999999996</v>
      </c>
      <c r="F66" s="38" t="n">
        <f aca="false">E66-F51</f>
        <v>630.154999999996</v>
      </c>
      <c r="G66" s="38" t="n">
        <f aca="false">F66-G51</f>
        <v>630.154999999996</v>
      </c>
      <c r="H66" s="38" t="n">
        <f aca="false">G66-H51</f>
        <v>630.154999999996</v>
      </c>
    </row>
    <row r="67" customFormat="false" ht="15" hidden="false" customHeight="false" outlineLevel="0" collapsed="false">
      <c r="A67" s="34" t="s">
        <v>198</v>
      </c>
      <c r="B67" s="30" t="s">
        <v>156</v>
      </c>
      <c r="C67" s="40" t="n">
        <f aca="false">SUM(C62:C66)</f>
        <v>78795.6337103083</v>
      </c>
      <c r="D67" s="40" t="n">
        <f aca="false">SUM(D62:D66)</f>
        <v>75968.0733951411</v>
      </c>
      <c r="E67" s="40" t="n">
        <f aca="false">SUM(E62:E66)</f>
        <v>78136.2549796859</v>
      </c>
      <c r="F67" s="40" t="n">
        <f aca="false">SUM(F62:F66)</f>
        <v>82515.6203183292</v>
      </c>
      <c r="G67" s="40" t="n">
        <f aca="false">SUM(G62:G66)</f>
        <v>86416.2443628553</v>
      </c>
      <c r="H67" s="40" t="n">
        <f aca="false">SUM(H62:H66)</f>
        <v>90486.4288161147</v>
      </c>
    </row>
    <row r="68" customFormat="false" ht="15" hidden="false" customHeight="false" outlineLevel="0" collapsed="false">
      <c r="A68" s="10" t="s">
        <v>199</v>
      </c>
      <c r="B68" s="30" t="s">
        <v>156</v>
      </c>
      <c r="C68" s="38" t="n">
        <f aca="false">C12*1000</f>
        <v>74442.5335547905</v>
      </c>
      <c r="D68" s="38" t="n">
        <f aca="false">D12*1000</f>
        <v>71576.4452921163</v>
      </c>
      <c r="E68" s="38" t="n">
        <f aca="false">E12*1000</f>
        <v>73699.6964924971</v>
      </c>
      <c r="F68" s="38" t="n">
        <f aca="false">F12*1000</f>
        <v>77612.7596127419</v>
      </c>
      <c r="G68" s="38" t="n">
        <f aca="false">G12*1000</f>
        <v>81418.3067206969</v>
      </c>
      <c r="H68" s="38" t="n">
        <f aca="false">H12*1000</f>
        <v>85371.3413620273</v>
      </c>
    </row>
    <row r="69" customFormat="false" ht="15" hidden="false" customHeight="false" outlineLevel="0" collapsed="false">
      <c r="A69" s="10" t="s">
        <v>129</v>
      </c>
      <c r="B69" s="30" t="s">
        <v>156</v>
      </c>
      <c r="C69" s="38" t="n">
        <f aca="false">Assumptions!$B$78-C21</f>
        <v>152.2</v>
      </c>
      <c r="D69" s="38" t="n">
        <f aca="false">C69-D21</f>
        <v>62.2</v>
      </c>
      <c r="E69" s="38" t="n">
        <f aca="false">D69-E21</f>
        <v>31.1</v>
      </c>
      <c r="F69" s="38" t="n">
        <f aca="false">E69-F21</f>
        <v>0</v>
      </c>
      <c r="G69" s="38" t="n">
        <f aca="false">F69-G21</f>
        <v>0</v>
      </c>
      <c r="H69" s="38" t="n">
        <f aca="false">G69-H21</f>
        <v>0</v>
      </c>
    </row>
    <row r="70" customFormat="false" ht="15" hidden="false" customHeight="false" outlineLevel="0" collapsed="false">
      <c r="A70" s="10" t="s">
        <v>131</v>
      </c>
      <c r="B70" s="30" t="s">
        <v>156</v>
      </c>
      <c r="C70" s="37" t="n">
        <f aca="false">Assumptions!$B$79</f>
        <v>485.741000000006</v>
      </c>
      <c r="D70" s="37" t="n">
        <f aca="false">Assumptions!$B$79</f>
        <v>485.741000000006</v>
      </c>
      <c r="E70" s="37" t="n">
        <f aca="false">Assumptions!$B$79</f>
        <v>485.741000000006</v>
      </c>
      <c r="F70" s="37" t="n">
        <f aca="false">Assumptions!$B$79</f>
        <v>485.741000000006</v>
      </c>
      <c r="G70" s="37" t="n">
        <f aca="false">Assumptions!$B$79</f>
        <v>485.741000000006</v>
      </c>
      <c r="H70" s="37" t="n">
        <f aca="false">Assumptions!$B$79</f>
        <v>485.741000000006</v>
      </c>
    </row>
    <row r="71" customFormat="false" ht="15" hidden="false" customHeight="false" outlineLevel="0" collapsed="false">
      <c r="A71" s="34" t="s">
        <v>200</v>
      </c>
      <c r="B71" s="30" t="s">
        <v>156</v>
      </c>
      <c r="C71" s="40" t="n">
        <f aca="false">SUM(C68:C70)</f>
        <v>75080.4745547906</v>
      </c>
      <c r="D71" s="40" t="n">
        <f aca="false">SUM(D68:D70)</f>
        <v>72124.3862921163</v>
      </c>
      <c r="E71" s="40" t="n">
        <f aca="false">SUM(E68:E70)</f>
        <v>74216.5374924971</v>
      </c>
      <c r="F71" s="40" t="n">
        <f aca="false">SUM(F68:F70)</f>
        <v>78098.5006127419</v>
      </c>
      <c r="G71" s="40" t="n">
        <f aca="false">SUM(G68:G70)</f>
        <v>81904.0477206969</v>
      </c>
      <c r="H71" s="40" t="n">
        <f aca="false">SUM(H68:H70)</f>
        <v>85857.0823620273</v>
      </c>
    </row>
    <row r="72" customFormat="false" ht="15" hidden="false" customHeight="false" outlineLevel="0" collapsed="false">
      <c r="A72" s="34" t="s">
        <v>201</v>
      </c>
      <c r="B72" s="30" t="s">
        <v>156</v>
      </c>
      <c r="C72" s="39" t="n">
        <f aca="false">Assumptions!$B$80+C38+C29+C55+C56+C57</f>
        <v>3715.15915551777</v>
      </c>
      <c r="D72" s="39" t="n">
        <f aca="false">C72+D38+D29+D55+D56+D57</f>
        <v>3843.68710302477</v>
      </c>
      <c r="E72" s="39" t="n">
        <f aca="false">D72+E38+E29+E55+E56+E57</f>
        <v>3919.71748718878</v>
      </c>
      <c r="F72" s="39" t="n">
        <f aca="false">E72+F38+F29+F55+F56+F57+Assumptions!$B$64</f>
        <v>4417.11970558722</v>
      </c>
      <c r="G72" s="39" t="n">
        <f aca="false">F72+G38+G29+G55+G56+G57</f>
        <v>4512.19664215834</v>
      </c>
      <c r="H72" s="39" t="n">
        <f aca="false">G72+H38+H29+H55+H56+H57</f>
        <v>4629.34645408743</v>
      </c>
    </row>
    <row r="73" customFormat="false" ht="15" hidden="false" customHeight="false" outlineLevel="0" collapsed="false">
      <c r="A73" s="10" t="s">
        <v>202</v>
      </c>
      <c r="B73" s="30" t="s">
        <v>156</v>
      </c>
      <c r="C73" s="45" t="n">
        <f aca="false">ROUND(C67-C71-C72,6)</f>
        <v>0</v>
      </c>
      <c r="D73" s="45" t="n">
        <f aca="false">ROUND(D67-D71-D72,6)</f>
        <v>0</v>
      </c>
      <c r="E73" s="45" t="n">
        <f aca="false">ROUND(E67-E71-E72,6)</f>
        <v>0</v>
      </c>
      <c r="F73" s="45" t="n">
        <f aca="false">ROUND(F67-F71-F72,6)</f>
        <v>0</v>
      </c>
      <c r="G73" s="45" t="n">
        <f aca="false">ROUND(G67-G71-G72,6)</f>
        <v>0</v>
      </c>
      <c r="H73" s="45" t="n">
        <f aca="false">ROUND(H67-H71-H72,6)</f>
        <v>0</v>
      </c>
    </row>
    <row r="75" customFormat="false" ht="15" hidden="false" customHeight="false" outlineLevel="0" collapsed="false">
      <c r="A75" s="46" t="s">
        <v>203</v>
      </c>
    </row>
    <row r="76" customFormat="false" ht="15" hidden="false" customHeight="false" outlineLevel="0" collapsed="false">
      <c r="A76" s="46" t="s">
        <v>204</v>
      </c>
    </row>
    <row r="78" customFormat="false" ht="15" hidden="false" customHeight="false" outlineLevel="0" collapsed="false">
      <c r="A78" s="34" t="s">
        <v>205</v>
      </c>
    </row>
    <row r="79" customFormat="false" ht="15" hidden="false" customHeight="false" outlineLevel="0" collapsed="false">
      <c r="A79" s="0" t="s">
        <v>206</v>
      </c>
      <c r="B79" s="47" t="n">
        <f aca="false">Assumptions!$B$57+C35+D35</f>
        <v>353.768374104071</v>
      </c>
    </row>
    <row r="80" customFormat="false" ht="15" hidden="false" customHeight="false" outlineLevel="0" collapsed="false">
      <c r="A80" s="0" t="s">
        <v>207</v>
      </c>
      <c r="B80" s="47" t="n">
        <f aca="false">MAX(0,Assumptions!$B$56-0.8*B79)</f>
        <v>195.785300716743</v>
      </c>
    </row>
    <row r="81" customFormat="false" ht="15" hidden="false" customHeight="false" outlineLevel="0" collapsed="false">
      <c r="A81" s="0" t="s">
        <v>208</v>
      </c>
      <c r="B81" s="47" t="n">
        <f aca="false">SUM(E35:H35)</f>
        <v>451.163606077557</v>
      </c>
    </row>
    <row r="82" customFormat="false" ht="15" hidden="false" customHeight="false" outlineLevel="0" collapsed="false">
      <c r="A82" s="0" t="s">
        <v>209</v>
      </c>
      <c r="B82" s="47" t="n">
        <f aca="false">MIN(B80,0.8*B81)</f>
        <v>195.785300716743</v>
      </c>
    </row>
    <row r="83" customFormat="false" ht="15" hidden="false" customHeight="false" outlineLevel="0" collapsed="false">
      <c r="A83" s="0" t="s">
        <v>210</v>
      </c>
      <c r="B83" s="48" t="n">
        <f aca="false">Assumptions!$B$54+0.21*MAX(0,B81-B82)/B81</f>
        <v>0.16986917163383</v>
      </c>
    </row>
    <row r="84" customFormat="false" ht="15" hidden="false" customHeight="false" outlineLevel="0" collapsed="false">
      <c r="A84" s="0" t="s">
        <v>211</v>
      </c>
      <c r="B84" s="48" t="n">
        <f aca="false">Assumptions!$B$55</f>
        <v>0.1699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5"/>
  </cols>
  <sheetData>
    <row r="1" customFormat="false" ht="15" hidden="false" customHeight="false" outlineLevel="0" collapsed="false">
      <c r="A1" s="26" t="s">
        <v>212</v>
      </c>
    </row>
    <row r="3" customFormat="false" ht="15" hidden="false" customHeight="false" outlineLevel="0" collapsed="false">
      <c r="A3" s="34" t="s">
        <v>213</v>
      </c>
    </row>
    <row r="4" customFormat="false" ht="15" hidden="false" customHeight="false" outlineLevel="0" collapsed="false">
      <c r="A4" s="0" t="s">
        <v>163</v>
      </c>
      <c r="B4" s="20" t="n">
        <v>1395.448</v>
      </c>
      <c r="C4" s="12" t="s">
        <v>214</v>
      </c>
    </row>
    <row r="5" customFormat="false" ht="15" hidden="false" customHeight="false" outlineLevel="0" collapsed="false">
      <c r="A5" s="0" t="s">
        <v>158</v>
      </c>
      <c r="B5" s="20" t="n">
        <v>1320.241</v>
      </c>
      <c r="C5" s="12" t="s">
        <v>215</v>
      </c>
    </row>
    <row r="6" customFormat="false" ht="15" hidden="false" customHeight="false" outlineLevel="0" collapsed="false">
      <c r="A6" s="0" t="s">
        <v>160</v>
      </c>
      <c r="B6" s="20" t="n">
        <v>815.816</v>
      </c>
      <c r="C6" s="12" t="s">
        <v>216</v>
      </c>
    </row>
    <row r="7" customFormat="false" ht="15" hidden="false" customHeight="false" outlineLevel="0" collapsed="false">
      <c r="A7" s="0" t="s">
        <v>183</v>
      </c>
      <c r="B7" s="24" t="n">
        <v>0.39</v>
      </c>
      <c r="C7" s="12" t="s">
        <v>217</v>
      </c>
    </row>
    <row r="10" customFormat="false" ht="45" hidden="false" customHeight="true" outlineLevel="0" collapsed="false">
      <c r="A10" s="49" t="s">
        <v>218</v>
      </c>
      <c r="B10" s="49" t="s">
        <v>219</v>
      </c>
      <c r="C10" s="49" t="s">
        <v>220</v>
      </c>
      <c r="D10" s="49" t="s">
        <v>221</v>
      </c>
      <c r="E10" s="49" t="s">
        <v>222</v>
      </c>
      <c r="F10" s="49" t="s">
        <v>223</v>
      </c>
      <c r="G10" s="49" t="s">
        <v>224</v>
      </c>
      <c r="H10" s="49" t="s">
        <v>225</v>
      </c>
      <c r="I10" s="49" t="s">
        <v>226</v>
      </c>
      <c r="J10" s="49" t="s">
        <v>227</v>
      </c>
      <c r="K10" s="49" t="s">
        <v>228</v>
      </c>
    </row>
    <row r="11" customFormat="false" ht="15" hidden="false" customHeight="false" outlineLevel="0" collapsed="false">
      <c r="A11" s="50" t="s">
        <v>138</v>
      </c>
      <c r="B11" s="37" t="n">
        <f aca="false">Model!C22</f>
        <v>779.179178082192</v>
      </c>
      <c r="C11" s="20" t="n">
        <v>786.91</v>
      </c>
      <c r="D11" s="18" t="n">
        <f aca="false">B11/C11-1</f>
        <v>-0.00982427713182976</v>
      </c>
      <c r="E11" s="5" t="n">
        <f aca="false">Model!C43</f>
        <v>0.389897002246319</v>
      </c>
      <c r="F11" s="51" t="n">
        <v>0.379</v>
      </c>
      <c r="G11" s="24" t="n">
        <v>0.4</v>
      </c>
      <c r="H11" s="18" t="n">
        <f aca="false">E11/F11-1</f>
        <v>0.0287519848187834</v>
      </c>
      <c r="I11" s="5" t="n">
        <f aca="false">Model!C44</f>
        <v>0.0721813006089054</v>
      </c>
      <c r="J11" s="4" t="n">
        <f aca="false">Model!C19</f>
        <v>0.3574</v>
      </c>
      <c r="K11" s="28" t="n">
        <v>18</v>
      </c>
    </row>
    <row r="12" customFormat="false" ht="15" hidden="false" customHeight="false" outlineLevel="0" collapsed="false">
      <c r="A12" s="50" t="s">
        <v>139</v>
      </c>
      <c r="B12" s="37" t="n">
        <f aca="false">Model!D22</f>
        <v>839.490953833092</v>
      </c>
      <c r="C12" s="20" t="n">
        <v>832.69</v>
      </c>
      <c r="D12" s="18" t="n">
        <f aca="false">B12/C12-1</f>
        <v>0.00816744987101048</v>
      </c>
      <c r="E12" s="5" t="n">
        <f aca="false">Model!D43</f>
        <v>0.470025986540524</v>
      </c>
      <c r="F12" s="51" t="n">
        <v>0.334</v>
      </c>
      <c r="G12" s="24" t="n">
        <v>0.32</v>
      </c>
      <c r="H12" s="18" t="n">
        <f aca="false">E12/F12-1</f>
        <v>0.407263432756059</v>
      </c>
      <c r="I12" s="5" t="n">
        <f aca="false">Model!D44</f>
        <v>0.155113418817403</v>
      </c>
      <c r="J12" s="4" t="n">
        <f aca="false">Model!D19</f>
        <v>0.3574</v>
      </c>
      <c r="K12" s="28" t="n">
        <v>18</v>
      </c>
    </row>
    <row r="13" customFormat="false" ht="15" hidden="false" customHeight="false" outlineLevel="0" collapsed="false">
      <c r="A13" s="50" t="s">
        <v>229</v>
      </c>
      <c r="B13" s="38" t="n">
        <f aca="false">$B$4+Model!C22+Model!D22</f>
        <v>3014.11813191528</v>
      </c>
      <c r="C13" s="20" t="n">
        <v>3026</v>
      </c>
      <c r="D13" s="18" t="n">
        <f aca="false">B13/C13-1</f>
        <v>-0.00392659222892156</v>
      </c>
      <c r="E13" s="44" t="n">
        <f aca="false">$B$7+Model!C43+Model!D43</f>
        <v>1.24992298878684</v>
      </c>
      <c r="F13" s="51" t="n">
        <v>1.111</v>
      </c>
      <c r="G13" s="24" t="n">
        <v>1.1</v>
      </c>
      <c r="H13" s="18" t="n">
        <f aca="false">E13/F13-1</f>
        <v>0.125043194227581</v>
      </c>
      <c r="I13" s="44" t="n">
        <f aca="false">$B$7+Model!C44+Model!D44</f>
        <v>0.617294719426309</v>
      </c>
      <c r="J13" s="18" t="n">
        <f aca="false">1-($B$6+Model!C18+Model!D18)/($B$5+Model!C16+Model!D16)</f>
        <v>0.36948965221002</v>
      </c>
      <c r="K13" s="28" t="n">
        <v>22</v>
      </c>
    </row>
    <row r="14" customFormat="false" ht="15" hidden="false" customHeight="false" outlineLevel="0" collapsed="false">
      <c r="A14" s="50" t="s">
        <v>230</v>
      </c>
      <c r="B14" s="38" t="n">
        <f aca="false">SUM(Model!E22:H22)</f>
        <v>3665.9179696287</v>
      </c>
      <c r="C14" s="20" t="n">
        <v>3835.1</v>
      </c>
      <c r="D14" s="18" t="n">
        <f aca="false">B14/C14-1</f>
        <v>-0.0441141118540068</v>
      </c>
      <c r="E14" s="44" t="n">
        <f aca="false">SUM(Model!E43:H43)</f>
        <v>1.34626108268347</v>
      </c>
      <c r="F14" s="51" t="n">
        <v>1.412</v>
      </c>
      <c r="G14" s="24" t="n">
        <v>1.37</v>
      </c>
      <c r="H14" s="18" t="n">
        <f aca="false">E14/F14-1</f>
        <v>-0.0465573068813921</v>
      </c>
      <c r="I14" s="44" t="n">
        <f aca="false">SUM(Model!E44:H44)</f>
        <v>1.15816182462647</v>
      </c>
      <c r="J14" s="18" t="n">
        <f aca="false">1-SUM(Model!E18:H18)/SUM(Model!E16:H16)</f>
        <v>0.3574</v>
      </c>
      <c r="K14" s="28" t="n">
        <v>20</v>
      </c>
    </row>
    <row r="16" customFormat="false" ht="15" hidden="false" customHeight="false" outlineLevel="0" collapsed="false">
      <c r="A16" s="46" t="s">
        <v>231</v>
      </c>
    </row>
    <row r="17" customFormat="false" ht="15" hidden="false" customHeight="false" outlineLevel="0" collapsed="false">
      <c r="A17" s="46" t="s">
        <v>232</v>
      </c>
    </row>
    <row r="18" customFormat="false" ht="15" hidden="false" customHeight="false" outlineLevel="0" collapsed="false">
      <c r="A18" s="46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26" t="s">
        <v>234</v>
      </c>
    </row>
    <row r="2" customFormat="false" ht="42" hidden="false" customHeight="true" outlineLevel="0" collapsed="false">
      <c r="A2" s="52" t="s">
        <v>235</v>
      </c>
      <c r="B2" s="52"/>
      <c r="C2" s="52"/>
      <c r="D2" s="52"/>
      <c r="E2" s="52"/>
    </row>
    <row r="4" customFormat="false" ht="15" hidden="false" customHeight="false" outlineLevel="0" collapsed="false">
      <c r="A4" s="7" t="s">
        <v>236</v>
      </c>
      <c r="B4" s="7" t="s">
        <v>237</v>
      </c>
      <c r="C4" s="7" t="s">
        <v>238</v>
      </c>
      <c r="D4" s="7" t="s">
        <v>239</v>
      </c>
      <c r="E4" s="7" t="s">
        <v>240</v>
      </c>
    </row>
    <row r="5" customFormat="false" ht="15" hidden="false" customHeight="false" outlineLevel="0" collapsed="false">
      <c r="A5" s="0" t="s">
        <v>241</v>
      </c>
      <c r="B5" s="0" t="s">
        <v>242</v>
      </c>
      <c r="C5" s="24" t="n">
        <v>21.05</v>
      </c>
      <c r="D5" s="53" t="n">
        <v>0.35</v>
      </c>
      <c r="E5" s="54" t="n">
        <v>0.3102</v>
      </c>
    </row>
    <row r="6" customFormat="false" ht="15" hidden="false" customHeight="false" outlineLevel="0" collapsed="false">
      <c r="A6" s="0" t="s">
        <v>243</v>
      </c>
      <c r="B6" s="0" t="s">
        <v>244</v>
      </c>
      <c r="C6" s="24" t="n">
        <v>62.81</v>
      </c>
      <c r="D6" s="53" t="n">
        <v>0.55</v>
      </c>
      <c r="E6" s="54" t="n">
        <v>0.5345</v>
      </c>
    </row>
    <row r="7" customFormat="false" ht="15" hidden="false" customHeight="false" outlineLevel="0" collapsed="false">
      <c r="A7" s="0" t="s">
        <v>245</v>
      </c>
      <c r="B7" s="0" t="s">
        <v>246</v>
      </c>
      <c r="C7" s="24" t="n">
        <v>224.02</v>
      </c>
      <c r="D7" s="53" t="n">
        <v>0.1</v>
      </c>
      <c r="E7" s="54" t="n">
        <v>0.1553</v>
      </c>
    </row>
    <row r="9" customFormat="false" ht="15" hidden="false" customHeight="false" outlineLevel="0" collapsed="false">
      <c r="A9" s="34" t="s">
        <v>247</v>
      </c>
      <c r="C9" s="55" t="n">
        <f aca="false">SUMPRODUCT(C5:C7,D5:D7)</f>
        <v>64.315</v>
      </c>
      <c r="E9" s="56" t="n">
        <f aca="false">SUMPRODUCT(C5:C7,E5:E7)/SUM(E5:E7)</f>
        <v>74.891961</v>
      </c>
    </row>
    <row r="10" customFormat="false" ht="15" hidden="false" customHeight="false" outlineLevel="0" collapsed="false">
      <c r="A10" s="0" t="s">
        <v>248</v>
      </c>
      <c r="C10" s="57" t="n">
        <f aca="false">SUM(D5:D7)</f>
        <v>1</v>
      </c>
    </row>
    <row r="11" customFormat="false" ht="15" hidden="false" customHeight="false" outlineLevel="0" collapsed="false">
      <c r="A11" s="0" t="s">
        <v>249</v>
      </c>
      <c r="C11" s="14" t="n">
        <v>0.0499</v>
      </c>
      <c r="D11" s="12" t="s">
        <v>250</v>
      </c>
    </row>
    <row r="12" customFormat="false" ht="15" hidden="false" customHeight="false" outlineLevel="0" collapsed="false">
      <c r="A12" s="0" t="s">
        <v>251</v>
      </c>
      <c r="C12" s="14" t="n">
        <v>0.042</v>
      </c>
      <c r="D12" s="12" t="s">
        <v>252</v>
      </c>
    </row>
    <row r="13" customFormat="false" ht="15" hidden="false" customHeight="false" outlineLevel="0" collapsed="false">
      <c r="A13" s="0" t="s">
        <v>253</v>
      </c>
      <c r="C13" s="58" t="n">
        <v>1.857</v>
      </c>
      <c r="D13" s="12" t="s">
        <v>254</v>
      </c>
    </row>
    <row r="14" customFormat="false" ht="15" hidden="false" customHeight="false" outlineLevel="0" collapsed="false">
      <c r="A14" s="0" t="s">
        <v>255</v>
      </c>
      <c r="C14" s="59" t="n">
        <f aca="false">0.67*C13+0.33</f>
        <v>1.57419</v>
      </c>
    </row>
    <row r="15" customFormat="false" ht="15" hidden="false" customHeight="false" outlineLevel="0" collapsed="false">
      <c r="A15" s="0" t="s">
        <v>256</v>
      </c>
      <c r="C15" s="18" t="n">
        <f aca="false">C11+C14*C12</f>
        <v>0.11601598</v>
      </c>
    </row>
    <row r="16" customFormat="false" ht="15" hidden="false" customHeight="false" outlineLevel="0" collapsed="false">
      <c r="A16" s="34" t="s">
        <v>8</v>
      </c>
      <c r="C16" s="55" t="n">
        <f aca="false">C9*(1+C15)</f>
        <v>71.7765677537</v>
      </c>
      <c r="E16" s="56" t="n">
        <f aca="false">E9*(1+C15)</f>
        <v>83.5806252495368</v>
      </c>
    </row>
    <row r="17" customFormat="false" ht="15" hidden="false" customHeight="false" outlineLevel="0" collapsed="false">
      <c r="A17" s="0" t="s">
        <v>108</v>
      </c>
      <c r="C17" s="5" t="n">
        <f aca="false">Assumptions!$B$65</f>
        <v>79.84</v>
      </c>
    </row>
    <row r="18" customFormat="false" ht="15" hidden="false" customHeight="false" outlineLevel="0" collapsed="false">
      <c r="A18" s="0" t="s">
        <v>9</v>
      </c>
      <c r="C18" s="18" t="n">
        <f aca="false">C16/C17-1</f>
        <v>-0.100994892864479</v>
      </c>
      <c r="E18" s="48" t="n">
        <f aca="false">E16/C17-1</f>
        <v>0.0468515186565228</v>
      </c>
    </row>
    <row r="19" customFormat="false" ht="15" hidden="false" customHeight="false" outlineLevel="0" collapsed="false">
      <c r="A19" s="0" t="s">
        <v>257</v>
      </c>
      <c r="C19" s="18" t="n">
        <f aca="false">(C17-(D5*C5+D6*C6)/(D5+D6))/(C7-(D5*C5+D6*C6)/(D5+D6))</f>
        <v>0.18748943364328</v>
      </c>
    </row>
    <row r="20" customFormat="false" ht="15" hidden="false" customHeight="false" outlineLevel="0" collapsed="false">
      <c r="A20" s="0" t="s">
        <v>258</v>
      </c>
      <c r="C20" s="24" t="n">
        <v>107.48</v>
      </c>
    </row>
    <row r="21" customFormat="false" ht="15" hidden="false" customHeight="false" outlineLevel="0" collapsed="false">
      <c r="A21" s="0" t="s">
        <v>259</v>
      </c>
      <c r="C21" s="24" t="n">
        <v>109.56</v>
      </c>
      <c r="D21" s="12" t="s">
        <v>260</v>
      </c>
    </row>
    <row r="22" customFormat="false" ht="15" hidden="false" customHeight="false" outlineLevel="0" collapsed="false">
      <c r="A22" s="0" t="s">
        <v>261</v>
      </c>
      <c r="C22" s="60" t="n">
        <f aca="false">C16/Consensus!E14</f>
        <v>53.3154888579482</v>
      </c>
    </row>
    <row r="23" customFormat="false" ht="15" hidden="false" customHeight="false" outlineLevel="0" collapsed="false">
      <c r="A23" s="0" t="s">
        <v>262</v>
      </c>
      <c r="C23" s="60" t="n">
        <f aca="false">C16/Consensus!I14</f>
        <v>61.9745585007945</v>
      </c>
    </row>
    <row r="24" customFormat="false" ht="15" hidden="false" customHeight="false" outlineLevel="0" collapsed="false">
      <c r="A24" s="0" t="s">
        <v>263</v>
      </c>
      <c r="C24" s="44" t="n">
        <f aca="false">C16/1.15</f>
        <v>62.4144067423478</v>
      </c>
    </row>
    <row r="25" customFormat="false" ht="15" hidden="false" customHeight="false" outlineLevel="0" collapsed="false">
      <c r="A25" s="0" t="s">
        <v>264</v>
      </c>
      <c r="C25" s="44" t="n">
        <f aca="false">C16/0.85</f>
        <v>84.4430208867059</v>
      </c>
    </row>
    <row r="27" customFormat="false" ht="15" hidden="false" customHeight="false" outlineLevel="0" collapsed="false">
      <c r="A27" s="8" t="s">
        <v>265</v>
      </c>
    </row>
    <row r="28" customFormat="false" ht="15" hidden="false" customHeight="false" outlineLevel="0" collapsed="false">
      <c r="A28" s="7" t="s">
        <v>266</v>
      </c>
      <c r="B28" s="7" t="s">
        <v>267</v>
      </c>
      <c r="C28" s="7" t="s">
        <v>268</v>
      </c>
      <c r="D28" s="7" t="s">
        <v>269</v>
      </c>
    </row>
    <row r="29" customFormat="false" ht="15" hidden="false" customHeight="false" outlineLevel="0" collapsed="false">
      <c r="A29" s="61" t="n">
        <v>0</v>
      </c>
      <c r="B29" s="56" t="n">
        <f aca="false">(1-A29)*(D5*C5+D6*C6)/(D5+D6)+A29*C7</f>
        <v>46.57</v>
      </c>
      <c r="C29" s="56" t="n">
        <f aca="false">B29*(1+$C$15)</f>
        <v>51.9728641886</v>
      </c>
      <c r="D29" s="48" t="n">
        <f aca="false">C29/$C$17-1</f>
        <v>-0.349037272186874</v>
      </c>
    </row>
    <row r="30" customFormat="false" ht="15" hidden="false" customHeight="false" outlineLevel="0" collapsed="false">
      <c r="A30" s="61" t="n">
        <v>0.05</v>
      </c>
      <c r="B30" s="56" t="n">
        <f aca="false">(1-A30)*(D5*C5+D6*C6)/(D5+D6)+A30*C7</f>
        <v>55.4425</v>
      </c>
      <c r="C30" s="56" t="n">
        <f aca="false">B30*(1+$C$15)</f>
        <v>61.87471597115</v>
      </c>
      <c r="D30" s="48" t="n">
        <f aca="false">C30/$C$17-1</f>
        <v>-0.225016082525676</v>
      </c>
    </row>
    <row r="31" customFormat="false" ht="15" hidden="false" customHeight="false" outlineLevel="0" collapsed="false">
      <c r="A31" s="61" t="n">
        <f aca="false">D7</f>
        <v>0.1</v>
      </c>
      <c r="B31" s="56" t="n">
        <f aca="false">(1-A31)*(D5*C5+D6*C6)/(D5+D6)+A31*C7</f>
        <v>64.315</v>
      </c>
      <c r="C31" s="56" t="n">
        <f aca="false">B31*(1+$C$15)</f>
        <v>71.7765677537</v>
      </c>
      <c r="D31" s="48" t="n">
        <f aca="false">C31/$C$17-1</f>
        <v>-0.100994892864479</v>
      </c>
    </row>
    <row r="32" customFormat="false" ht="15" hidden="false" customHeight="false" outlineLevel="0" collapsed="false">
      <c r="A32" s="61" t="n">
        <f aca="false">E7</f>
        <v>0.1553</v>
      </c>
      <c r="B32" s="56" t="n">
        <f aca="false">(1-A32)*(D5*C5+D6*C6)/(D5+D6)+A32*C7</f>
        <v>74.127985</v>
      </c>
      <c r="C32" s="56" t="n">
        <f aca="false">B32*(1+$C$15)</f>
        <v>82.7280158252003</v>
      </c>
      <c r="D32" s="48" t="n">
        <f aca="false">C32/$C$17-1</f>
        <v>0.0361725429008053</v>
      </c>
    </row>
    <row r="33" customFormat="false" ht="15" hidden="false" customHeight="false" outlineLevel="0" collapsed="false">
      <c r="A33" s="61" t="n">
        <v>0.2</v>
      </c>
      <c r="B33" s="56" t="n">
        <f aca="false">(1-A33)*(D5*C5+D6*C6)/(D5+D6)+A33*C7</f>
        <v>82.06</v>
      </c>
      <c r="C33" s="56" t="n">
        <f aca="false">B33*(1+$C$15)</f>
        <v>91.5802713188</v>
      </c>
      <c r="D33" s="48" t="n">
        <f aca="false">C33/$C$17-1</f>
        <v>0.147047486457916</v>
      </c>
    </row>
    <row r="35" customFormat="false" ht="15" hidden="false" customHeight="false" outlineLevel="0" collapsed="false">
      <c r="A35" s="46" t="s">
        <v>270</v>
      </c>
    </row>
    <row r="36" customFormat="false" ht="15" hidden="false" customHeight="false" outlineLevel="0" collapsed="false">
      <c r="A36" s="46" t="s">
        <v>271</v>
      </c>
    </row>
    <row r="38" customFormat="false" ht="15" hidden="false" customHeight="false" outlineLevel="0" collapsed="false">
      <c r="A38" s="8" t="s">
        <v>272</v>
      </c>
      <c r="D38" s="30" t="s">
        <v>268</v>
      </c>
    </row>
    <row r="39" customFormat="false" ht="15" hidden="false" customHeight="false" outlineLevel="0" collapsed="false">
      <c r="A39" s="0" t="s">
        <v>273</v>
      </c>
      <c r="C39" s="24" t="n">
        <v>52.45</v>
      </c>
      <c r="D39" s="56" t="n">
        <f aca="false">C39*(1+$C$15)</f>
        <v>58.535038151</v>
      </c>
    </row>
    <row r="40" customFormat="false" ht="15" hidden="false" customHeight="false" outlineLevel="0" collapsed="false">
      <c r="A40" s="0" t="s">
        <v>274</v>
      </c>
      <c r="C40" s="24" t="n">
        <v>40.59</v>
      </c>
      <c r="D40" s="56" t="n">
        <f aca="false">C40*(1+$C$15)</f>
        <v>45.2990886282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26"/>
    <col collapsed="false" customWidth="true" hidden="false" outlineLevel="0" max="10" min="6" style="0" width="15"/>
  </cols>
  <sheetData>
    <row r="1" customFormat="false" ht="15" hidden="false" customHeight="false" outlineLevel="0" collapsed="false">
      <c r="A1" s="26" t="s">
        <v>275</v>
      </c>
    </row>
    <row r="3" customFormat="false" ht="31.5" hidden="false" customHeight="true" outlineLevel="0" collapsed="false">
      <c r="A3" s="49" t="s">
        <v>276</v>
      </c>
      <c r="B3" s="49" t="s">
        <v>277</v>
      </c>
      <c r="C3" s="49" t="s">
        <v>278</v>
      </c>
      <c r="D3" s="49" t="s">
        <v>279</v>
      </c>
      <c r="E3" s="49" t="s">
        <v>280</v>
      </c>
      <c r="F3" s="49" t="s">
        <v>281</v>
      </c>
      <c r="G3" s="49" t="s">
        <v>282</v>
      </c>
      <c r="H3" s="49" t="s">
        <v>283</v>
      </c>
      <c r="I3" s="49" t="s">
        <v>284</v>
      </c>
      <c r="J3" s="49" t="s">
        <v>285</v>
      </c>
    </row>
    <row r="4" customFormat="false" ht="15" hidden="false" customHeight="false" outlineLevel="0" collapsed="false">
      <c r="A4" s="34" t="s">
        <v>158</v>
      </c>
      <c r="B4" s="62" t="s">
        <v>286</v>
      </c>
      <c r="C4" s="62" t="s">
        <v>287</v>
      </c>
      <c r="D4" s="62" t="s">
        <v>288</v>
      </c>
      <c r="E4" s="62"/>
      <c r="F4" s="62" t="s">
        <v>289</v>
      </c>
      <c r="G4" s="62"/>
      <c r="H4" s="62"/>
      <c r="I4" s="62"/>
      <c r="J4" s="62"/>
    </row>
    <row r="5" customFormat="false" ht="15" hidden="false" customHeight="false" outlineLevel="0" collapsed="false">
      <c r="A5" s="34" t="s">
        <v>162</v>
      </c>
      <c r="B5" s="62" t="s">
        <v>290</v>
      </c>
      <c r="C5" s="62" t="s">
        <v>290</v>
      </c>
      <c r="D5" s="62" t="s">
        <v>291</v>
      </c>
      <c r="E5" s="62" t="s">
        <v>292</v>
      </c>
      <c r="F5" s="62" t="s">
        <v>293</v>
      </c>
      <c r="G5" s="62"/>
      <c r="H5" s="62"/>
      <c r="I5" s="62"/>
      <c r="J5" s="62"/>
    </row>
    <row r="6" customFormat="false" ht="15" hidden="false" customHeight="false" outlineLevel="0" collapsed="false">
      <c r="A6" s="34" t="s">
        <v>155</v>
      </c>
      <c r="B6" s="62" t="s">
        <v>294</v>
      </c>
      <c r="C6" s="62" t="s">
        <v>294</v>
      </c>
      <c r="D6" s="62" t="s">
        <v>295</v>
      </c>
      <c r="E6" s="62"/>
      <c r="F6" s="62" t="s">
        <v>296</v>
      </c>
      <c r="G6" s="62"/>
      <c r="H6" s="62"/>
      <c r="I6" s="62"/>
      <c r="J6" s="62"/>
    </row>
    <row r="7" customFormat="false" ht="15" hidden="false" customHeight="false" outlineLevel="0" collapsed="false">
      <c r="A7" s="34" t="s">
        <v>163</v>
      </c>
      <c r="B7" s="62" t="s">
        <v>297</v>
      </c>
      <c r="C7" s="62" t="s">
        <v>298</v>
      </c>
      <c r="D7" s="62" t="s">
        <v>299</v>
      </c>
      <c r="E7" s="62"/>
      <c r="F7" s="62" t="s">
        <v>300</v>
      </c>
      <c r="G7" s="62" t="s">
        <v>301</v>
      </c>
      <c r="H7" s="62" t="s">
        <v>302</v>
      </c>
      <c r="I7" s="62" t="s">
        <v>303</v>
      </c>
      <c r="J7" s="62" t="s">
        <v>304</v>
      </c>
    </row>
    <row r="8" customFormat="false" ht="15" hidden="false" customHeight="false" outlineLevel="0" collapsed="false">
      <c r="A8" s="34" t="s">
        <v>160</v>
      </c>
      <c r="B8" s="62" t="s">
        <v>305</v>
      </c>
      <c r="C8" s="62" t="s">
        <v>306</v>
      </c>
      <c r="D8" s="62" t="s">
        <v>307</v>
      </c>
      <c r="E8" s="62"/>
      <c r="F8" s="62" t="s">
        <v>308</v>
      </c>
      <c r="G8" s="62"/>
      <c r="H8" s="62"/>
      <c r="I8" s="62"/>
      <c r="J8" s="62"/>
    </row>
    <row r="9" customFormat="false" ht="15" hidden="false" customHeight="false" outlineLevel="0" collapsed="false">
      <c r="A9" s="34" t="s">
        <v>309</v>
      </c>
      <c r="B9" s="62" t="s">
        <v>310</v>
      </c>
      <c r="C9" s="62" t="s">
        <v>310</v>
      </c>
      <c r="D9" s="62" t="s">
        <v>311</v>
      </c>
      <c r="E9" s="62"/>
      <c r="F9" s="62" t="s">
        <v>310</v>
      </c>
      <c r="G9" s="62"/>
      <c r="H9" s="62"/>
      <c r="I9" s="62"/>
      <c r="J9" s="62"/>
    </row>
    <row r="10" customFormat="false" ht="15" hidden="false" customHeight="false" outlineLevel="0" collapsed="false">
      <c r="A10" s="34" t="s">
        <v>312</v>
      </c>
      <c r="B10" s="62" t="s">
        <v>313</v>
      </c>
      <c r="C10" s="62" t="s">
        <v>314</v>
      </c>
      <c r="D10" s="62" t="s">
        <v>315</v>
      </c>
      <c r="E10" s="62"/>
      <c r="F10" s="62" t="s">
        <v>316</v>
      </c>
      <c r="G10" s="62"/>
      <c r="H10" s="62"/>
      <c r="I10" s="62"/>
      <c r="J10" s="62"/>
    </row>
    <row r="11" customFormat="false" ht="15" hidden="false" customHeight="false" outlineLevel="0" collapsed="false">
      <c r="A11" s="34" t="s">
        <v>167</v>
      </c>
      <c r="B11" s="62" t="s">
        <v>317</v>
      </c>
      <c r="C11" s="62" t="s">
        <v>318</v>
      </c>
      <c r="D11" s="62" t="s">
        <v>319</v>
      </c>
      <c r="E11" s="62" t="s">
        <v>320</v>
      </c>
      <c r="F11" s="62" t="s">
        <v>321</v>
      </c>
      <c r="G11" s="62"/>
      <c r="H11" s="62"/>
      <c r="I11" s="62"/>
      <c r="J11" s="62"/>
    </row>
    <row r="12" customFormat="false" ht="15" hidden="false" customHeight="false" outlineLevel="0" collapsed="false">
      <c r="A12" s="34" t="s">
        <v>168</v>
      </c>
      <c r="B12" s="62" t="s">
        <v>322</v>
      </c>
      <c r="C12" s="62" t="s">
        <v>322</v>
      </c>
      <c r="D12" s="62" t="s">
        <v>323</v>
      </c>
      <c r="E12" s="62" t="s">
        <v>324</v>
      </c>
      <c r="F12" s="62" t="s">
        <v>325</v>
      </c>
      <c r="G12" s="62"/>
      <c r="H12" s="62"/>
      <c r="I12" s="62"/>
      <c r="J12" s="62"/>
    </row>
    <row r="13" customFormat="false" ht="15" hidden="false" customHeight="false" outlineLevel="0" collapsed="false">
      <c r="A13" s="34" t="s">
        <v>169</v>
      </c>
      <c r="B13" s="62" t="s">
        <v>326</v>
      </c>
      <c r="C13" s="62" t="s">
        <v>327</v>
      </c>
      <c r="D13" s="62" t="s">
        <v>328</v>
      </c>
      <c r="E13" s="62" t="s">
        <v>329</v>
      </c>
      <c r="F13" s="62" t="s">
        <v>330</v>
      </c>
      <c r="G13" s="62"/>
      <c r="H13" s="62"/>
      <c r="I13" s="62"/>
      <c r="J13" s="62"/>
    </row>
    <row r="14" customFormat="false" ht="15" hidden="false" customHeight="false" outlineLevel="0" collapsed="false">
      <c r="A14" s="34" t="s">
        <v>177</v>
      </c>
      <c r="B14" s="62" t="s">
        <v>331</v>
      </c>
      <c r="C14" s="62" t="s">
        <v>332</v>
      </c>
      <c r="D14" s="62" t="s">
        <v>333</v>
      </c>
      <c r="E14" s="62"/>
      <c r="F14" s="62" t="s">
        <v>334</v>
      </c>
      <c r="G14" s="62"/>
      <c r="H14" s="62"/>
      <c r="I14" s="62"/>
      <c r="J14" s="62"/>
    </row>
    <row r="15" customFormat="false" ht="15" hidden="false" customHeight="false" outlineLevel="0" collapsed="false">
      <c r="A15" s="34" t="s">
        <v>335</v>
      </c>
      <c r="B15" s="62" t="s">
        <v>336</v>
      </c>
      <c r="C15" s="62" t="s">
        <v>337</v>
      </c>
      <c r="D15" s="62" t="s">
        <v>338</v>
      </c>
      <c r="E15" s="62"/>
      <c r="F15" s="62" t="s">
        <v>339</v>
      </c>
      <c r="G15" s="62" t="s">
        <v>340</v>
      </c>
      <c r="H15" s="62" t="s">
        <v>341</v>
      </c>
      <c r="I15" s="62" t="s">
        <v>342</v>
      </c>
      <c r="J15" s="62" t="s">
        <v>343</v>
      </c>
    </row>
    <row r="16" customFormat="false" ht="15" hidden="false" customHeight="false" outlineLevel="0" collapsed="false">
      <c r="A16" s="34" t="s">
        <v>344</v>
      </c>
      <c r="B16" s="62" t="s">
        <v>345</v>
      </c>
      <c r="C16" s="62" t="s">
        <v>346</v>
      </c>
      <c r="D16" s="62" t="s">
        <v>347</v>
      </c>
      <c r="E16" s="62"/>
      <c r="F16" s="62" t="s">
        <v>348</v>
      </c>
      <c r="G16" s="62"/>
      <c r="H16" s="62"/>
      <c r="I16" s="62"/>
      <c r="J16" s="62"/>
    </row>
    <row r="18" customFormat="false" ht="15" hidden="false" customHeight="false" outlineLevel="0" collapsed="false">
      <c r="A18" s="46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6" t="s">
        <v>350</v>
      </c>
    </row>
    <row r="2" customFormat="false" ht="15" hidden="false" customHeight="false" outlineLevel="0" collapsed="false">
      <c r="A2" s="46" t="s">
        <v>351</v>
      </c>
    </row>
    <row r="4" customFormat="false" ht="15" hidden="false" customHeight="false" outlineLevel="0" collapsed="false">
      <c r="A4" s="0" t="s">
        <v>352</v>
      </c>
      <c r="B4" s="11" t="n">
        <v>0.922691</v>
      </c>
    </row>
    <row r="5" customFormat="false" ht="15" hidden="false" customHeight="false" outlineLevel="0" collapsed="false">
      <c r="A5" s="0" t="s">
        <v>353</v>
      </c>
      <c r="B5" s="11" t="n">
        <v>1.446053</v>
      </c>
    </row>
    <row r="6" customFormat="false" ht="15" hidden="false" customHeight="false" outlineLevel="0" collapsed="false">
      <c r="A6" s="0" t="s">
        <v>354</v>
      </c>
      <c r="B6" s="11" t="n">
        <v>2.781773</v>
      </c>
    </row>
    <row r="7" customFormat="false" ht="15" hidden="false" customHeight="false" outlineLevel="0" collapsed="false">
      <c r="A7" s="0" t="s">
        <v>355</v>
      </c>
      <c r="B7" s="11" t="n">
        <v>5.254107</v>
      </c>
    </row>
    <row r="8" customFormat="false" ht="15" hidden="false" customHeight="false" outlineLevel="0" collapsed="false">
      <c r="A8" s="0" t="s">
        <v>356</v>
      </c>
      <c r="B8" s="11" t="n">
        <v>0.58379</v>
      </c>
    </row>
    <row r="9" customFormat="false" ht="15" hidden="false" customHeight="false" outlineLevel="0" collapsed="false">
      <c r="A9" s="0" t="s">
        <v>357</v>
      </c>
      <c r="B9" s="11" t="n">
        <v>0.427078</v>
      </c>
    </row>
    <row r="10" customFormat="false" ht="15" hidden="false" customHeight="false" outlineLevel="0" collapsed="false">
      <c r="A10" s="0" t="s">
        <v>31</v>
      </c>
      <c r="B10" s="14" t="n">
        <v>0.0355</v>
      </c>
    </row>
    <row r="11" customFormat="false" ht="15" hidden="false" customHeight="false" outlineLevel="0" collapsed="false">
      <c r="A11" s="0" t="s">
        <v>358</v>
      </c>
      <c r="B11" s="14" t="n">
        <v>0.0159</v>
      </c>
    </row>
    <row r="12" customFormat="false" ht="15" hidden="false" customHeight="false" outlineLevel="0" collapsed="false">
      <c r="A12" s="0" t="s">
        <v>359</v>
      </c>
      <c r="B12" s="14" t="n">
        <v>0.0212645</v>
      </c>
    </row>
    <row r="13" customFormat="false" ht="15" hidden="false" customHeight="false" outlineLevel="0" collapsed="false">
      <c r="A13" s="0" t="s">
        <v>360</v>
      </c>
      <c r="B13" s="21" t="n">
        <v>0.401</v>
      </c>
    </row>
    <row r="14" customFormat="false" ht="15" hidden="false" customHeight="false" outlineLevel="0" collapsed="false">
      <c r="A14" s="0" t="s">
        <v>361</v>
      </c>
      <c r="B14" s="59" t="n">
        <f aca="false">92/365*1000</f>
        <v>252.054794520548</v>
      </c>
    </row>
    <row r="15" customFormat="false" ht="15" hidden="false" customHeight="false" outlineLevel="0" collapsed="false">
      <c r="A15" s="0" t="s">
        <v>362</v>
      </c>
      <c r="B15" s="38" t="n">
        <f aca="false">(B5*B10+B6*B11)*B14</f>
        <v>24.0876346367123</v>
      </c>
    </row>
    <row r="16" customFormat="false" ht="15" hidden="false" customHeight="false" outlineLevel="0" collapsed="false">
      <c r="A16" s="0" t="s">
        <v>363</v>
      </c>
      <c r="B16" s="38" t="n">
        <f aca="false">(B8*B10+B9*B11)*B14</f>
        <v>6.93530914630137</v>
      </c>
    </row>
    <row r="17" customFormat="false" ht="15" hidden="false" customHeight="false" outlineLevel="0" collapsed="false">
      <c r="A17" s="0" t="s">
        <v>364</v>
      </c>
      <c r="B17" s="38" t="n">
        <f aca="false">B16-B15</f>
        <v>-17.152325490411</v>
      </c>
    </row>
    <row r="18" customFormat="false" ht="15" hidden="false" customHeight="false" outlineLevel="0" collapsed="false">
      <c r="A18" s="0" t="s">
        <v>365</v>
      </c>
      <c r="B18" s="38" t="n">
        <f aca="false">(B8*B10+B9*B12)*B14-(B5*B10+B6*B12)*B14</f>
        <v>-20.3362214962466</v>
      </c>
    </row>
    <row r="19" customFormat="false" ht="15" hidden="false" customHeight="false" outlineLevel="0" collapsed="false">
      <c r="A19" s="0" t="s">
        <v>366</v>
      </c>
      <c r="B19" s="38" t="n">
        <f aca="false">((B7*B10+B9*B13*B10)-(B4*B10+B6*B13*B10))*B14</f>
        <v>30.3083306140548</v>
      </c>
    </row>
    <row r="20" customFormat="false" ht="15" hidden="false" customHeight="false" outlineLevel="0" collapsed="false">
      <c r="A20" s="0" t="s">
        <v>367</v>
      </c>
      <c r="B20" s="11" t="n">
        <v>-1.37925</v>
      </c>
    </row>
    <row r="21" customFormat="false" ht="15" hidden="false" customHeight="false" outlineLevel="0" collapsed="false">
      <c r="A21" s="0" t="s">
        <v>368</v>
      </c>
      <c r="B21" s="38" t="n">
        <f aca="false">B20*0.0134*B14</f>
        <v>-4.65846410958904</v>
      </c>
    </row>
    <row r="22" customFormat="false" ht="15" hidden="false" customHeight="false" outlineLevel="0" collapsed="false">
      <c r="A22" s="0" t="s">
        <v>369</v>
      </c>
      <c r="B22" s="21" t="n">
        <v>0.38536211</v>
      </c>
    </row>
    <row r="23" customFormat="false" ht="15" hidden="false" customHeight="false" outlineLevel="0" collapsed="false">
      <c r="A23" s="0" t="s">
        <v>370</v>
      </c>
      <c r="B23" s="17" t="n">
        <v>656</v>
      </c>
    </row>
    <row r="24" customFormat="false" ht="15" hidden="false" customHeight="false" outlineLevel="0" collapsed="false">
      <c r="A24" s="34" t="s">
        <v>371</v>
      </c>
      <c r="B24" s="18" t="n">
        <f aca="false">B27+B28</f>
        <v>0.35742</v>
      </c>
    </row>
    <row r="25" customFormat="false" ht="15" hidden="false" customHeight="false" outlineLevel="0" collapsed="false">
      <c r="A25" s="34" t="s">
        <v>372</v>
      </c>
      <c r="B25" s="21" t="n">
        <v>0.3512</v>
      </c>
    </row>
    <row r="26" customFormat="false" ht="15" hidden="false" customHeight="false" outlineLevel="0" collapsed="false">
      <c r="A26" s="34" t="s">
        <v>373</v>
      </c>
      <c r="B26" s="21" t="n">
        <v>0.3536</v>
      </c>
    </row>
    <row r="27" customFormat="false" ht="15" hidden="false" customHeight="false" outlineLevel="0" collapsed="false">
      <c r="A27" s="0" t="s">
        <v>374</v>
      </c>
      <c r="B27" s="18" t="n">
        <f aca="false">(B25+B26)/2</f>
        <v>0.3524</v>
      </c>
    </row>
    <row r="28" customFormat="false" ht="15" hidden="false" customHeight="false" outlineLevel="0" collapsed="false">
      <c r="A28" s="0" t="s">
        <v>375</v>
      </c>
      <c r="B28" s="14" t="n">
        <v>0.00502</v>
      </c>
    </row>
    <row r="30" customFormat="false" ht="15" hidden="false" customHeight="false" outlineLevel="0" collapsed="false">
      <c r="A30" s="46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26" t="s">
        <v>377</v>
      </c>
    </row>
    <row r="3" customFormat="false" ht="15" hidden="false" customHeight="false" outlineLevel="0" collapsed="false">
      <c r="A3" s="7" t="s">
        <v>378</v>
      </c>
      <c r="B3" s="7" t="s">
        <v>379</v>
      </c>
      <c r="C3" s="7" t="s">
        <v>380</v>
      </c>
      <c r="D3" s="7" t="s">
        <v>381</v>
      </c>
    </row>
    <row r="4" customFormat="false" ht="15" hidden="false" customHeight="false" outlineLevel="0" collapsed="false">
      <c r="A4" s="62" t="s">
        <v>382</v>
      </c>
      <c r="B4" s="62" t="s">
        <v>383</v>
      </c>
      <c r="C4" s="63" t="n">
        <v>90</v>
      </c>
      <c r="D4" s="21" t="n">
        <v>0.338</v>
      </c>
    </row>
    <row r="5" customFormat="false" ht="15" hidden="false" customHeight="false" outlineLevel="0" collapsed="false">
      <c r="A5" s="62" t="s">
        <v>382</v>
      </c>
      <c r="B5" s="62" t="s">
        <v>384</v>
      </c>
      <c r="C5" s="63" t="n">
        <v>125</v>
      </c>
      <c r="D5" s="21" t="n">
        <v>0.166</v>
      </c>
    </row>
    <row r="6" customFormat="false" ht="15" hidden="false" customHeight="false" outlineLevel="0" collapsed="false">
      <c r="A6" s="62" t="s">
        <v>382</v>
      </c>
      <c r="B6" s="62" t="s">
        <v>385</v>
      </c>
      <c r="C6" s="63" t="n">
        <v>175</v>
      </c>
      <c r="D6" s="21" t="n">
        <v>0.116</v>
      </c>
    </row>
    <row r="7" customFormat="false" ht="15" hidden="false" customHeight="false" outlineLevel="0" collapsed="false">
      <c r="A7" s="62" t="s">
        <v>382</v>
      </c>
      <c r="B7" s="62" t="s">
        <v>386</v>
      </c>
      <c r="C7" s="63" t="n">
        <v>215</v>
      </c>
      <c r="D7" s="21" t="n">
        <v>0.049</v>
      </c>
    </row>
    <row r="8" customFormat="false" ht="15" hidden="false" customHeight="false" outlineLevel="0" collapsed="false">
      <c r="A8" s="62" t="s">
        <v>382</v>
      </c>
      <c r="B8" s="62" t="s">
        <v>387</v>
      </c>
      <c r="C8" s="63" t="n">
        <v>58</v>
      </c>
      <c r="D8" s="21" t="n">
        <v>0.532</v>
      </c>
    </row>
    <row r="9" customFormat="false" ht="15" hidden="false" customHeight="false" outlineLevel="0" collapsed="false">
      <c r="A9" s="62" t="s">
        <v>382</v>
      </c>
      <c r="B9" s="62" t="s">
        <v>387</v>
      </c>
      <c r="C9" s="63" t="n">
        <v>100</v>
      </c>
      <c r="D9" s="21" t="n">
        <v>0.273</v>
      </c>
    </row>
    <row r="10" customFormat="false" ht="15" hidden="false" customHeight="false" outlineLevel="0" collapsed="false">
      <c r="A10" s="62" t="s">
        <v>382</v>
      </c>
      <c r="B10" s="62" t="s">
        <v>387</v>
      </c>
      <c r="C10" s="63" t="n">
        <v>150</v>
      </c>
      <c r="D10" s="21" t="n">
        <v>0.133</v>
      </c>
    </row>
    <row r="11" customFormat="false" ht="15" hidden="false" customHeight="false" outlineLevel="0" collapsed="false">
      <c r="A11" s="62" t="s">
        <v>382</v>
      </c>
      <c r="B11" s="62" t="s">
        <v>387</v>
      </c>
      <c r="C11" s="63" t="n">
        <v>200</v>
      </c>
      <c r="D11" s="21" t="n">
        <v>0.07</v>
      </c>
    </row>
    <row r="12" customFormat="false" ht="15" hidden="false" customHeight="false" outlineLevel="0" collapsed="false">
      <c r="A12" s="62" t="s">
        <v>382</v>
      </c>
      <c r="B12" s="62" t="s">
        <v>387</v>
      </c>
      <c r="C12" s="63" t="n">
        <v>255</v>
      </c>
      <c r="D12" s="21" t="n">
        <v>0.038</v>
      </c>
    </row>
    <row r="13" customFormat="false" ht="15" hidden="false" customHeight="false" outlineLevel="0" collapsed="false">
      <c r="A13" s="62" t="s">
        <v>388</v>
      </c>
      <c r="B13" s="62" t="s">
        <v>383</v>
      </c>
      <c r="C13" s="63" t="n">
        <v>90</v>
      </c>
      <c r="D13" s="21" t="n">
        <v>0.358</v>
      </c>
    </row>
    <row r="14" customFormat="false" ht="15" hidden="false" customHeight="false" outlineLevel="0" collapsed="false">
      <c r="A14" s="62" t="s">
        <v>388</v>
      </c>
      <c r="B14" s="62" t="s">
        <v>387</v>
      </c>
      <c r="C14" s="63" t="n">
        <v>58</v>
      </c>
      <c r="D14" s="21" t="n">
        <v>0.445</v>
      </c>
    </row>
    <row r="15" customFormat="false" ht="15" hidden="false" customHeight="false" outlineLevel="0" collapsed="false">
      <c r="A15" s="62" t="s">
        <v>388</v>
      </c>
      <c r="B15" s="62" t="s">
        <v>387</v>
      </c>
      <c r="C15" s="63" t="n">
        <v>100</v>
      </c>
      <c r="D15" s="21" t="n">
        <v>0.259</v>
      </c>
    </row>
    <row r="16" customFormat="false" ht="15" hidden="false" customHeight="false" outlineLevel="0" collapsed="false">
      <c r="A16" s="62" t="s">
        <v>388</v>
      </c>
      <c r="B16" s="62" t="s">
        <v>387</v>
      </c>
      <c r="C16" s="63" t="n">
        <v>150</v>
      </c>
      <c r="D16" s="21" t="n">
        <v>0.153</v>
      </c>
    </row>
    <row r="17" customFormat="false" ht="15" hidden="false" customHeight="false" outlineLevel="0" collapsed="false">
      <c r="A17" s="62" t="s">
        <v>388</v>
      </c>
      <c r="B17" s="62" t="s">
        <v>387</v>
      </c>
      <c r="C17" s="63" t="n">
        <v>200</v>
      </c>
      <c r="D17" s="21" t="n">
        <v>0.098</v>
      </c>
    </row>
    <row r="18" customFormat="false" ht="15" hidden="false" customHeight="false" outlineLevel="0" collapsed="false">
      <c r="A18" s="62" t="s">
        <v>388</v>
      </c>
      <c r="B18" s="62" t="s">
        <v>387</v>
      </c>
      <c r="C18" s="63" t="n">
        <v>255</v>
      </c>
      <c r="D18" s="21" t="n">
        <v>0.064</v>
      </c>
    </row>
    <row r="20" customFormat="false" ht="15" hidden="false" customHeight="false" outlineLevel="0" collapsed="false">
      <c r="A20" s="46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0" min="2" style="0" width="13"/>
  </cols>
  <sheetData>
    <row r="1" customFormat="false" ht="15" hidden="false" customHeight="false" outlineLevel="0" collapsed="false">
      <c r="A1" s="26" t="s">
        <v>390</v>
      </c>
    </row>
    <row r="3" customFormat="false" ht="45" hidden="false" customHeight="true" outlineLevel="0" collapsed="false">
      <c r="A3" s="49" t="s">
        <v>391</v>
      </c>
      <c r="B3" s="49" t="s">
        <v>392</v>
      </c>
      <c r="C3" s="49" t="s">
        <v>393</v>
      </c>
      <c r="D3" s="49" t="s">
        <v>394</v>
      </c>
      <c r="E3" s="49" t="s">
        <v>395</v>
      </c>
      <c r="F3" s="49" t="s">
        <v>396</v>
      </c>
      <c r="G3" s="49" t="s">
        <v>397</v>
      </c>
      <c r="H3" s="49" t="s">
        <v>398</v>
      </c>
      <c r="I3" s="49" t="s">
        <v>399</v>
      </c>
      <c r="J3" s="49" t="s">
        <v>400</v>
      </c>
    </row>
    <row r="4" customFormat="false" ht="15" hidden="false" customHeight="false" outlineLevel="0" collapsed="false">
      <c r="A4" s="34" t="s">
        <v>401</v>
      </c>
      <c r="B4" s="21" t="n">
        <v>0.3713</v>
      </c>
      <c r="C4" s="21" t="n">
        <v>0.3618</v>
      </c>
      <c r="D4" s="21" t="n">
        <v>0.3654</v>
      </c>
      <c r="E4" s="21" t="n">
        <v>0.3636</v>
      </c>
      <c r="F4" s="21" t="n">
        <v>0.3592</v>
      </c>
      <c r="G4" s="21" t="n">
        <v>0.3632</v>
      </c>
      <c r="H4" s="21" t="n">
        <v>0.3588</v>
      </c>
      <c r="I4" s="64" t="n">
        <f aca="false">(E4-B4)*100</f>
        <v>-0.770000000000004</v>
      </c>
      <c r="J4" s="64" t="n">
        <f aca="false">(F4-B4)*100</f>
        <v>-1.21</v>
      </c>
    </row>
    <row r="5" customFormat="false" ht="15" hidden="false" customHeight="false" outlineLevel="0" collapsed="false">
      <c r="A5" s="34" t="s">
        <v>402</v>
      </c>
      <c r="B5" s="21" t="n">
        <v>0.3711</v>
      </c>
      <c r="C5" s="21" t="n">
        <v>0.3684</v>
      </c>
      <c r="D5" s="21" t="n">
        <v>0.3709</v>
      </c>
      <c r="E5" s="21" t="n">
        <v>0.3696</v>
      </c>
      <c r="F5" s="21" t="n">
        <v>0.3713</v>
      </c>
      <c r="G5" s="21" t="n">
        <v>0.3577</v>
      </c>
      <c r="H5" s="21" t="n">
        <v>0.3588</v>
      </c>
      <c r="I5" s="64" t="n">
        <f aca="false">(E5-B5)*100</f>
        <v>-0.15</v>
      </c>
      <c r="J5" s="64" t="n">
        <f aca="false">(F5-B5)*100</f>
        <v>0.0200000000000034</v>
      </c>
    </row>
    <row r="6" customFormat="false" ht="15" hidden="false" customHeight="false" outlineLevel="0" collapsed="false">
      <c r="A6" s="34" t="s">
        <v>403</v>
      </c>
      <c r="B6" s="21" t="n">
        <v>0.3787</v>
      </c>
      <c r="C6" s="21" t="n">
        <v>0.3716</v>
      </c>
      <c r="D6" s="21" t="n">
        <v>0.373</v>
      </c>
      <c r="E6" s="21" t="n">
        <v>0.3723</v>
      </c>
      <c r="F6" s="21" t="n">
        <v>0.3711</v>
      </c>
      <c r="G6" s="21" t="n">
        <v>0.3611</v>
      </c>
      <c r="H6" s="21" t="n">
        <v>0.3592</v>
      </c>
      <c r="I6" s="64" t="n">
        <f aca="false">(E6-B6)*100</f>
        <v>-0.639999999999996</v>
      </c>
      <c r="J6" s="64" t="n">
        <f aca="false">(F6-B6)*100</f>
        <v>-0.76</v>
      </c>
    </row>
    <row r="7" customFormat="false" ht="15" hidden="false" customHeight="false" outlineLevel="0" collapsed="false">
      <c r="A7" s="34" t="s">
        <v>404</v>
      </c>
      <c r="B7" s="21" t="n">
        <v>0.3854</v>
      </c>
      <c r="C7" s="21" t="n">
        <v>0.3796</v>
      </c>
      <c r="D7" s="21" t="n">
        <v>0.382</v>
      </c>
      <c r="E7" s="21" t="n">
        <v>0.3808</v>
      </c>
      <c r="F7" s="21" t="n">
        <v>0.3787</v>
      </c>
      <c r="G7" s="21" t="n">
        <v>0.3802</v>
      </c>
      <c r="H7" s="21" t="n">
        <v>0.378</v>
      </c>
      <c r="I7" s="64" t="n">
        <f aca="false">(E7-B7)*100</f>
        <v>-0.459999999999999</v>
      </c>
      <c r="J7" s="64" t="n">
        <f aca="false">(F7-B7)*100</f>
        <v>-0.670000000000004</v>
      </c>
    </row>
    <row r="9" customFormat="false" ht="15" hidden="false" customHeight="false" outlineLevel="0" collapsed="false">
      <c r="A9" s="34" t="s">
        <v>405</v>
      </c>
      <c r="I9" s="65" t="n">
        <f aca="false">SUMPRODUCT(ABS(I4:I7))/4</f>
        <v>0.505</v>
      </c>
      <c r="J9" s="65" t="n">
        <f aca="false">SUMPRODUCT(ABS(J4:J7))/4</f>
        <v>0.665000000000002</v>
      </c>
    </row>
    <row r="10" customFormat="false" ht="15" hidden="false" customHeight="false" outlineLevel="0" collapsed="false">
      <c r="A10" s="34" t="s">
        <v>406</v>
      </c>
      <c r="I10" s="66" t="n">
        <f aca="false">AVERAGE(I4:I7)</f>
        <v>-0.505</v>
      </c>
    </row>
    <row r="12" customFormat="false" ht="15" hidden="false" customHeight="false" outlineLevel="0" collapsed="false">
      <c r="A12" s="46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26" t="s">
        <v>408</v>
      </c>
    </row>
    <row r="3" customFormat="false" ht="15" hidden="false" customHeight="false" outlineLevel="0" collapsed="false">
      <c r="A3" s="2" t="s">
        <v>409</v>
      </c>
    </row>
    <row r="4" customFormat="false" ht="15" hidden="false" customHeight="false" outlineLevel="0" collapsed="false">
      <c r="A4" s="2" t="s">
        <v>410</v>
      </c>
    </row>
    <row r="5" customFormat="false" ht="15" hidden="false" customHeight="false" outlineLevel="0" collapsed="false">
      <c r="A5" s="2" t="s">
        <v>411</v>
      </c>
    </row>
    <row r="6" customFormat="false" ht="15" hidden="false" customHeight="false" outlineLevel="0" collapsed="false">
      <c r="A6" s="2" t="s">
        <v>412</v>
      </c>
    </row>
    <row r="7" customFormat="false" ht="15" hidden="false" customHeight="false" outlineLevel="0" collapsed="false">
      <c r="A7" s="2" t="s">
        <v>413</v>
      </c>
    </row>
    <row r="8" customFormat="false" ht="15" hidden="false" customHeight="false" outlineLevel="0" collapsed="false">
      <c r="A8" s="2" t="s">
        <v>414</v>
      </c>
    </row>
    <row r="9" customFormat="false" ht="15" hidden="false" customHeight="false" outlineLevel="0" collapsed="false">
      <c r="A9" s="2" t="s">
        <v>415</v>
      </c>
    </row>
    <row r="10" customFormat="false" ht="15" hidden="false" customHeight="false" outlineLevel="0" collapsed="false">
      <c r="A10" s="2" t="s">
        <v>416</v>
      </c>
    </row>
    <row r="11" customFormat="false" ht="15" hidden="false" customHeight="false" outlineLevel="0" collapsed="false">
      <c r="A11" s="2" t="s">
        <v>417</v>
      </c>
    </row>
    <row r="12" customFormat="false" ht="15" hidden="false" customHeight="false" outlineLevel="0" collapsed="false">
      <c r="A12" s="2" t="s">
        <v>418</v>
      </c>
    </row>
    <row r="13" customFormat="false" ht="15" hidden="false" customHeight="false" outlineLevel="0" collapsed="false">
      <c r="A13" s="2" t="s">
        <v>419</v>
      </c>
    </row>
    <row r="14" customFormat="false" ht="15" hidden="false" customHeight="false" outlineLevel="0" collapsed="false">
      <c r="A14" s="2" t="s">
        <v>420</v>
      </c>
    </row>
    <row r="15" customFormat="false" ht="15" hidden="false" customHeight="false" outlineLevel="0" collapsed="false">
      <c r="A15" s="2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2026-10-29T08:27:05Z</dcterms:created>
  <dc:creator>openpyxl</dc:creator>
  <dc:description/>
  <dc:language>en-US</dc:language>
  <cp:lastModifiedBy/>
  <dcterms:modified xsi:type="dcterms:W3CDTF">2026-10-29T08:27:05Z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